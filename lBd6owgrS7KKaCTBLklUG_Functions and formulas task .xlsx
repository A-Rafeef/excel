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c38714a76ecbb/Desktop/bridegeon/excel/"/>
    </mc:Choice>
  </mc:AlternateContent>
  <xr:revisionPtr revIDLastSave="2" documentId="8_{3913A5CE-ECDC-40F3-8234-6FA18522CBE5}" xr6:coauthVersionLast="47" xr6:coauthVersionMax="47" xr10:uidLastSave="{67599525-94F8-4243-B5A6-EEBAD8371AE2}"/>
  <bookViews>
    <workbookView xWindow="-108" yWindow="-108" windowWidth="23256" windowHeight="12456" firstSheet="1" activeTab="1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definedNames>
    <definedName name="table">Sheet10!$B$3:$L$8</definedName>
    <definedName name="table2">Sheet11!$B$1:$E$11</definedName>
    <definedName name="table3">Sheet12!$B$3:$G$9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1" l="1"/>
  <c r="C24" i="12"/>
  <c r="C19" i="12"/>
  <c r="C13" i="12"/>
  <c r="H21" i="11"/>
  <c r="H20" i="11"/>
  <c r="H16" i="11"/>
  <c r="H15" i="11"/>
  <c r="C20" i="10"/>
  <c r="C16" i="10"/>
  <c r="C12" i="10"/>
  <c r="C27" i="8"/>
  <c r="C23" i="8"/>
  <c r="C19" i="8"/>
  <c r="C33" i="7"/>
  <c r="C32" i="7"/>
  <c r="C31" i="7"/>
  <c r="C25" i="7"/>
  <c r="C26" i="7"/>
  <c r="C24" i="7"/>
  <c r="E19" i="7"/>
  <c r="E17" i="7"/>
  <c r="C10" i="6" a="1"/>
  <c r="C11" i="6" a="1"/>
  <c r="C12" i="6" a="1"/>
  <c r="C9" i="6" a="1"/>
  <c r="D12" i="5"/>
  <c r="D13" i="5"/>
  <c r="D14" i="5"/>
  <c r="D15" i="5"/>
  <c r="D16" i="5"/>
  <c r="D17" i="5"/>
  <c r="D11" i="5"/>
  <c r="F10" i="4"/>
  <c r="F11" i="4"/>
  <c r="F12" i="4"/>
  <c r="F13" i="4"/>
  <c r="F14" i="4"/>
  <c r="F15" i="4"/>
  <c r="F16" i="4"/>
  <c r="F9" i="4"/>
  <c r="E9" i="4"/>
  <c r="E10" i="4"/>
  <c r="E11" i="4"/>
  <c r="E12" i="4"/>
  <c r="E13" i="4"/>
  <c r="E14" i="4"/>
  <c r="E15" i="4"/>
  <c r="E16" i="4"/>
  <c r="D8" i="3"/>
  <c r="D9" i="3"/>
  <c r="D10" i="3"/>
  <c r="D7" i="3"/>
  <c r="B32" i="2" a="1"/>
  <c r="B33" i="2" a="1"/>
  <c r="B31" i="2" a="1"/>
  <c r="B25" i="2" a="1"/>
  <c r="B26" i="2" a="1"/>
  <c r="B24" i="2" a="1"/>
  <c r="D19" i="2" a="1"/>
  <c r="D17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<sst xmlns="http://schemas.openxmlformats.org/spreadsheetml/2006/main" count="326" uniqueCount="215">
  <si>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</si>
  <si>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</si>
  <si>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</si>
  <si>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</si>
  <si>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</si>
  <si>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</si>
  <si>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</si>
  <si>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</si>
  <si>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</si>
  <si>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</si>
  <si>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</si>
  <si>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</si>
  <si>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</si>
  <si>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</si>
  <si>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</si>
  <si>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</si>
  <si>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</si>
  <si>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</si>
  <si>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</si>
  <si>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</si>
  <si>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</si>
  <si>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</si>
  <si>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</si>
  <si>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</si>
  <si>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</si>
  <si>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</si>
  <si>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</si>
  <si>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</si>
  <si>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</si>
  <si>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</si>
  <si>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</si>
  <si>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</si>
  <si>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</si>
  <si>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</si>
  <si>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</si>
  <si>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</si>
  <si>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</si>
  <si>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</si>
  <si>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</si>
  <si>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</si>
  <si>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</si>
  <si>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</si>
  <si>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</si>
  <si>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</si>
  <si>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>Journal Entry 2</t>
  </si>
  <si>
    <t xml:space="preserve">$109.00 </t>
  </si>
  <si>
    <t xml:space="preserve"> $109.00 </t>
  </si>
  <si>
    <t>Journal Entry 3</t>
  </si>
  <si>
    <t xml:space="preserve">$85.00 </t>
  </si>
  <si>
    <t xml:space="preserve"> $85.50 </t>
  </si>
  <si>
    <t>Journal Entry 4</t>
  </si>
  <si>
    <t xml:space="preserve">$12.00 </t>
  </si>
  <si>
    <t xml:space="preserve"> 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</si>
  <si>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</si>
  <si>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</si>
  <si>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</si>
  <si>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</si>
  <si>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</si>
  <si>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</si>
  <si>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</si>
  <si>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</si>
  <si>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</si>
  <si>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</si>
  <si>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</si>
  <si>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</si>
  <si>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</si>
  <si>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</si>
  <si>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</si>
  <si>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</si>
  <si>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</si>
  <si>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</si>
  <si>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</si>
  <si>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</si>
  <si>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</si>
  <si>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</si>
  <si>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</si>
  <si>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</si>
  <si>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</si>
  <si>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</si>
  <si>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</si>
  <si>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</si>
  <si>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</si>
  <si>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</si>
  <si>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</si>
  <si>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</si>
  <si>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</si>
  <si>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</si>
  <si>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</si>
  <si>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</si>
  <si>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</si>
  <si>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</si>
  <si>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</si>
  <si>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</si>
  <si>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</si>
  <si>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</si>
  <si>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</si>
  <si>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</si>
  <si>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</si>
  <si>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</si>
  <si>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</si>
  <si>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</si>
  <si>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</si>
  <si>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</si>
  <si>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</si>
  <si>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</si>
  <si>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</si>
  <si>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</si>
  <si>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</si>
  <si>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</si>
  <si>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</si>
  <si>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</si>
  <si>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</si>
  <si>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</si>
  <si>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</si>
  <si>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</si>
  <si>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</si>
  <si>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</si>
  <si>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</si>
  <si>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</si>
  <si>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</si>
  <si>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</si>
  <si>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</si>
  <si>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</si>
  <si>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</si>
  <si>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</si>
  <si>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</si>
  <si>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</si>
  <si>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</si>
  <si>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</si>
  <si>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</si>
  <si>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</si>
  <si>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</si>
  <si>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</si>
  <si>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</si>
  <si>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</si>
  <si>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</si>
  <si>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</si>
  <si>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</si>
  <si>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</si>
  <si>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</si>
  <si>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</si>
  <si>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</si>
  <si>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</si>
  <si>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</si>
  <si>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</si>
  <si>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</si>
  <si>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</si>
  <si>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</si>
  <si>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</si>
  <si>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</si>
  <si>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</si>
  <si>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</si>
  <si>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</si>
  <si>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</si>
  <si>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</si>
  <si>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</si>
  <si>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</si>
  <si>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</si>
  <si>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</si>
  <si>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</si>
  <si>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</si>
  <si>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</si>
  <si>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</si>
  <si>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</si>
  <si>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</si>
  <si>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</si>
  <si>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</si>
  <si>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</si>
  <si>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</si>
  <si>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</si>
  <si>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</si>
  <si>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</si>
  <si>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</si>
  <si>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</si>
  <si>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</si>
  <si>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</si>
  <si>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</si>
  <si>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</si>
  <si>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</si>
  <si>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</si>
  <si>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</si>
  <si>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</si>
  <si>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</si>
  <si>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</si>
  <si>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</si>
  <si>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</si>
  <si>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</si>
  <si>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</si>
  <si>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</si>
  <si>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</si>
  <si>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</si>
  <si>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</si>
  <si>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</si>
  <si>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</si>
  <si>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</si>
  <si>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</si>
  <si>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</si>
  <si>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</si>
  <si>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</si>
  <si>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</si>
  <si>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</si>
  <si>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</si>
  <si>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</si>
  <si>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</si>
  <si>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</si>
  <si>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</si>
  <si>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</si>
  <si>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</si>
  <si>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</si>
  <si>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</si>
  <si>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</si>
  <si>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</si>
  <si>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</si>
  <si>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</si>
  <si>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 xml:space="preserve">$94.00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</si>
</sst>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[$-409]d/mmm/yy;@"/>
    <numFmt numFmtId="166" formatCode="_-[$$-409]* #,##0.00_ ;_-[$$-409]* \-#,##0.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9" fontId="19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9" fontId="1" fillId="3" borderId="1" xfId="2" applyFont="1" applyFill="1" applyBorder="1"/>
    <xf numFmtId="164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6" fontId="1" fillId="0" borderId="6" xfId="0" applyNumberFormat="1" applyFont="1" applyBorder="1"/>
    <xf numFmtId="0" fontId="15" fillId="0" borderId="0" xfId="0" applyFont="1"/>
    <xf numFmtId="0" fontId="17" fillId="0" borderId="0" xfId="0" applyFont="1"/>
    <xf numFmtId="0" fontId="10" fillId="0" borderId="0" xfId="0" applyFont="1"/>
    <xf numFmtId="0" fontId="15" fillId="0" borderId="8" xfId="0" applyFont="1" applyBorder="1"/>
    <xf numFmtId="0" fontId="15" fillId="0" borderId="9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zoomScale="64" workbookViewId="0">
      <selection activeCell="D19" sqref="D19"/>
    </sheetView>
  </sheetViews>
  <sheetFormatPr defaultRowHeight="14.4" x14ac:dyDescent="0.3"/>
  <cols>
    <col min="1" max="1" width="14.77734375" customWidth="1"/>
    <col min="2" max="2" width="15.21875" customWidth="1"/>
    <col min="3" max="3" width="17" customWidth="1"/>
    <col min="4" max="4" width="30.5546875" customWidth="1"/>
  </cols>
  <sheetData>
    <row r="1" spans="1:5" x14ac:dyDescent="0.3">
      <c r="A1" s="66" t="s">
        <v>11</v>
      </c>
      <c r="B1" s="66"/>
      <c r="C1" s="66"/>
      <c r="D1" s="66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 t="s">
        <v>29</v>
      </c>
      <c r="B17" s="9"/>
      <c r="C17" s="9"/>
      <c r="D17" s="10" t="str" cm="1">
        <f t="array" ref="D17">_xlfn._xlws.FILTER(B4:B15, 58369=A4:A15, "no")</f>
        <v>Thomas Davies</v>
      </c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30</v>
      </c>
      <c r="B19" s="9"/>
      <c r="C19" s="1"/>
      <c r="D19" s="10" cm="1">
        <f t="array" ref="D19">_xlfn._xlws.FILTER(E4:E15,B4:B15= "Estelle Cormack","no")</f>
        <v>30</v>
      </c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67" t="s">
        <v>31</v>
      </c>
      <c r="B21" s="67"/>
      <c r="C21" s="67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1" t="s">
        <v>12</v>
      </c>
      <c r="B23" s="12" t="s">
        <v>14</v>
      </c>
      <c r="C23" s="1"/>
      <c r="D23" s="1"/>
      <c r="E23" s="1"/>
    </row>
    <row r="24" spans="1:5" x14ac:dyDescent="0.3">
      <c r="A24" s="6">
        <v>55879</v>
      </c>
      <c r="B24" s="13" t="str" cm="1">
        <f t="array" ref="B24">_xlfn._xlws.FILTER(C6:C15,A24=A6:A15, " not fount")</f>
        <v>Capetown</v>
      </c>
      <c r="C24" s="1"/>
      <c r="D24" s="1"/>
      <c r="E24" s="1"/>
    </row>
    <row r="25" spans="1:5" x14ac:dyDescent="0.3">
      <c r="A25" s="6">
        <v>50217</v>
      </c>
      <c r="B25" s="13" t="str" cm="1">
        <f t="array" ref="B25">_xlfn._xlws.FILTER(C7:C16,A25=A7:A16, " not fount")</f>
        <v>Warsaw</v>
      </c>
      <c r="C25" s="1"/>
      <c r="D25" s="1"/>
      <c r="E25" s="1"/>
    </row>
    <row r="26" spans="1:5" x14ac:dyDescent="0.3">
      <c r="A26" s="6">
        <v>50695</v>
      </c>
      <c r="B26" s="13" t="str" cm="1">
        <f t="array" ref="B26">_xlfn._xlws.FILTER(C8:C17,A26=A8:A17, " not fount")</f>
        <v>Cairo</v>
      </c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67" t="s">
        <v>32</v>
      </c>
      <c r="B28" s="67"/>
      <c r="C28" s="67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1" t="s">
        <v>13</v>
      </c>
      <c r="B30" s="12" t="s">
        <v>15</v>
      </c>
      <c r="C30" s="1"/>
      <c r="D30" s="1"/>
      <c r="E30" s="1"/>
    </row>
    <row r="31" spans="1:5" x14ac:dyDescent="0.3">
      <c r="A31" s="14" t="s">
        <v>21</v>
      </c>
      <c r="B31" s="13" cm="1">
        <f t="array" ref="B31">_xlfn._xlws.FILTER(D4:D15, B4:B15=A31, "not fount")</f>
        <v>18276</v>
      </c>
      <c r="C31" s="1"/>
      <c r="D31" s="1"/>
      <c r="E31" s="1"/>
    </row>
    <row r="32" spans="1:5" x14ac:dyDescent="0.3">
      <c r="A32" s="14" t="s">
        <v>33</v>
      </c>
      <c r="B32" s="13" t="str" cm="1">
        <f t="array" ref="B32">_xlfn._xlws.FILTER(D5:D16, B5:B16=A32, "not fount")</f>
        <v>not fount</v>
      </c>
      <c r="C32" s="1"/>
      <c r="D32" s="1"/>
      <c r="E32" s="1"/>
    </row>
    <row r="33" spans="1:5" x14ac:dyDescent="0.3">
      <c r="A33" s="14" t="s">
        <v>27</v>
      </c>
      <c r="B33" s="13" cm="1">
        <f t="array" ref="B33">_xlfn._xlws.FILTER(D6:D17, B6:B17=A33, "not fount")</f>
        <v>10959</v>
      </c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tabSelected="1" workbookViewId="0">
      <selection activeCell="F12" sqref="F12"/>
    </sheetView>
  </sheetViews>
  <sheetFormatPr defaultRowHeight="14.4" x14ac:dyDescent="0.3"/>
  <cols>
    <col min="1" max="1" width="22.6640625" customWidth="1"/>
  </cols>
  <sheetData>
    <row r="1" spans="1:5" x14ac:dyDescent="0.3">
      <c r="A1" s="15" t="s">
        <v>34</v>
      </c>
      <c r="B1" s="9"/>
      <c r="C1" s="9"/>
      <c r="D1" s="9"/>
      <c r="E1" s="9"/>
    </row>
    <row r="2" spans="1:5" x14ac:dyDescent="0.3">
      <c r="A2" s="16" t="s">
        <v>35</v>
      </c>
      <c r="B2" s="9"/>
      <c r="C2" s="9"/>
      <c r="D2" s="9"/>
      <c r="E2" s="9"/>
    </row>
    <row r="3" spans="1:5" x14ac:dyDescent="0.3">
      <c r="A3" s="15" t="s">
        <v>36</v>
      </c>
      <c r="B3" s="9"/>
      <c r="C3" s="9"/>
      <c r="D3" s="9"/>
      <c r="E3" s="9"/>
    </row>
    <row r="4" spans="1:5" x14ac:dyDescent="0.3">
      <c r="A4" s="17"/>
      <c r="B4" s="9"/>
      <c r="C4" s="9"/>
      <c r="D4" s="9"/>
      <c r="E4" s="9"/>
    </row>
    <row r="5" spans="1:5" x14ac:dyDescent="0.3">
      <c r="A5" s="9"/>
      <c r="B5" s="1" t="s">
        <v>37</v>
      </c>
      <c r="C5" s="1" t="s">
        <v>38</v>
      </c>
      <c r="D5" s="9"/>
      <c r="E5" s="9"/>
    </row>
    <row r="6" spans="1:5" x14ac:dyDescent="0.3">
      <c r="A6" s="18"/>
      <c r="B6" s="18" t="s">
        <v>39</v>
      </c>
      <c r="C6" s="18" t="s">
        <v>40</v>
      </c>
      <c r="D6" s="11" t="s">
        <v>41</v>
      </c>
      <c r="E6" s="9"/>
    </row>
    <row r="7" spans="1:5" x14ac:dyDescent="0.3">
      <c r="A7" s="18" t="s">
        <v>42</v>
      </c>
      <c r="B7" s="18" t="s">
        <v>43</v>
      </c>
      <c r="C7" s="18" t="s">
        <v>214</v>
      </c>
      <c r="D7" t="str">
        <f>IF(TRIM(B7)=TRIM(C7), "match", "no match")</f>
        <v>match</v>
      </c>
      <c r="E7" s="1"/>
    </row>
    <row r="8" spans="1:5" x14ac:dyDescent="0.3">
      <c r="A8" s="18" t="s">
        <v>44</v>
      </c>
      <c r="B8" s="18" t="s">
        <v>45</v>
      </c>
      <c r="C8" s="18" t="s">
        <v>46</v>
      </c>
      <c r="D8" t="str">
        <f t="shared" ref="D8:D10" si="0">IF(TRIM(B8)=TRIM(C8), "match", "no match")</f>
        <v>match</v>
      </c>
      <c r="E8" s="1"/>
    </row>
    <row r="9" spans="1:5" x14ac:dyDescent="0.3">
      <c r="A9" s="18" t="s">
        <v>47</v>
      </c>
      <c r="B9" s="18" t="s">
        <v>48</v>
      </c>
      <c r="C9" s="18" t="s">
        <v>49</v>
      </c>
      <c r="D9" t="str">
        <f t="shared" si="0"/>
        <v>no match</v>
      </c>
      <c r="E9" s="1"/>
    </row>
    <row r="10" spans="1:5" x14ac:dyDescent="0.3">
      <c r="A10" s="18" t="s">
        <v>50</v>
      </c>
      <c r="B10" s="18" t="s">
        <v>51</v>
      </c>
      <c r="C10" s="18" t="s">
        <v>52</v>
      </c>
      <c r="D10" t="str">
        <f t="shared" si="0"/>
        <v>match</v>
      </c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F9" sqref="F9:F16"/>
    </sheetView>
  </sheetViews>
  <sheetFormatPr defaultRowHeight="14.4" x14ac:dyDescent="0.3"/>
  <sheetData>
    <row r="1" spans="1:8" x14ac:dyDescent="0.3">
      <c r="A1" s="9"/>
      <c r="B1" s="1" t="s">
        <v>53</v>
      </c>
      <c r="C1" s="9"/>
      <c r="D1" s="9"/>
      <c r="E1" s="9"/>
      <c r="F1" s="9"/>
      <c r="G1" s="9"/>
      <c r="H1" s="9"/>
    </row>
    <row r="2" spans="1:8" x14ac:dyDescent="0.3">
      <c r="A2" s="20">
        <v>1</v>
      </c>
      <c r="B2" s="21" t="s">
        <v>54</v>
      </c>
      <c r="C2" s="9"/>
      <c r="D2" s="9"/>
      <c r="E2" s="9"/>
      <c r="F2" s="9"/>
      <c r="G2" s="9"/>
      <c r="H2" s="9"/>
    </row>
    <row r="3" spans="1:8" x14ac:dyDescent="0.3">
      <c r="A3" s="68"/>
      <c r="B3" s="68"/>
      <c r="C3" s="9"/>
      <c r="D3" s="9"/>
      <c r="E3" s="9"/>
      <c r="F3" s="9"/>
      <c r="G3" s="9"/>
      <c r="H3" s="9"/>
    </row>
    <row r="4" spans="1:8" x14ac:dyDescent="0.3">
      <c r="A4" s="20">
        <v>2</v>
      </c>
      <c r="B4" s="21" t="s">
        <v>55</v>
      </c>
      <c r="C4" s="9"/>
      <c r="D4" s="9"/>
      <c r="E4" s="9"/>
      <c r="F4" s="9"/>
      <c r="G4" s="9"/>
      <c r="H4" s="9"/>
    </row>
    <row r="5" spans="1:8" x14ac:dyDescent="0.3">
      <c r="A5" s="68"/>
      <c r="B5" s="68"/>
      <c r="C5" s="9"/>
      <c r="D5" s="9"/>
      <c r="E5" s="9"/>
      <c r="F5" s="9"/>
      <c r="G5" s="9"/>
      <c r="H5" s="9"/>
    </row>
    <row r="6" spans="1:8" x14ac:dyDescent="0.3">
      <c r="A6" s="68"/>
      <c r="B6" s="68"/>
      <c r="C6" s="9"/>
      <c r="D6" s="9"/>
      <c r="E6" s="9"/>
      <c r="F6" s="9"/>
      <c r="G6" s="9"/>
      <c r="H6" s="9"/>
    </row>
    <row r="7" spans="1:8" x14ac:dyDescent="0.3">
      <c r="A7" s="69"/>
      <c r="B7" s="69"/>
      <c r="C7" s="9"/>
      <c r="D7" s="9"/>
      <c r="E7" s="18" t="s">
        <v>56</v>
      </c>
      <c r="F7" s="18" t="s">
        <v>57</v>
      </c>
      <c r="G7" s="9"/>
      <c r="H7" s="9"/>
    </row>
    <row r="8" spans="1:8" x14ac:dyDescent="0.3">
      <c r="A8" s="9"/>
      <c r="B8" s="22" t="s">
        <v>58</v>
      </c>
      <c r="C8" s="22" t="s">
        <v>13</v>
      </c>
      <c r="D8" s="23" t="s">
        <v>16</v>
      </c>
      <c r="E8" s="22" t="s">
        <v>59</v>
      </c>
      <c r="F8" s="22" t="s">
        <v>60</v>
      </c>
      <c r="G8" s="9"/>
      <c r="H8" s="1"/>
    </row>
    <row r="9" spans="1:8" x14ac:dyDescent="0.3">
      <c r="A9" s="9"/>
      <c r="B9" s="18">
        <v>1</v>
      </c>
      <c r="C9" s="18" t="s">
        <v>61</v>
      </c>
      <c r="D9" s="24">
        <v>16</v>
      </c>
      <c r="E9" s="19" t="str">
        <f>IF(D9&gt;=16, "eligible","not")</f>
        <v>eligible</v>
      </c>
      <c r="F9" s="19" t="str">
        <f>IF(D9&gt;=18, "adult","minnor")</f>
        <v>minnor</v>
      </c>
      <c r="G9" s="9"/>
      <c r="H9" s="1"/>
    </row>
    <row r="10" spans="1:8" x14ac:dyDescent="0.3">
      <c r="A10" s="9"/>
      <c r="B10" s="18">
        <v>2</v>
      </c>
      <c r="C10" s="18" t="s">
        <v>62</v>
      </c>
      <c r="D10" s="24">
        <v>18</v>
      </c>
      <c r="E10" s="19" t="str">
        <f t="shared" ref="E10:E16" si="0">IF(D10&gt;=16, "eligible","not")</f>
        <v>eligible</v>
      </c>
      <c r="F10" s="19" t="str">
        <f t="shared" ref="F10:F16" si="1">IF(D10&gt;=18, "adult","minnor")</f>
        <v>adult</v>
      </c>
      <c r="G10" s="9"/>
      <c r="H10" s="1"/>
    </row>
    <row r="11" spans="1:8" x14ac:dyDescent="0.3">
      <c r="A11" s="9"/>
      <c r="B11" s="18">
        <v>3</v>
      </c>
      <c r="C11" s="18" t="s">
        <v>63</v>
      </c>
      <c r="D11" s="24">
        <v>15.5</v>
      </c>
      <c r="E11" s="19" t="str">
        <f t="shared" si="0"/>
        <v>not</v>
      </c>
      <c r="F11" s="19" t="str">
        <f t="shared" si="1"/>
        <v>minnor</v>
      </c>
      <c r="G11" s="9"/>
      <c r="H11" s="1"/>
    </row>
    <row r="12" spans="1:8" x14ac:dyDescent="0.3">
      <c r="A12" s="9"/>
      <c r="B12" s="18">
        <v>4</v>
      </c>
      <c r="C12" s="18" t="s">
        <v>64</v>
      </c>
      <c r="D12" s="24">
        <v>19</v>
      </c>
      <c r="E12" s="19" t="str">
        <f t="shared" si="0"/>
        <v>eligible</v>
      </c>
      <c r="F12" s="19" t="str">
        <f t="shared" si="1"/>
        <v>adult</v>
      </c>
      <c r="G12" s="9"/>
      <c r="H12" s="1"/>
    </row>
    <row r="13" spans="1:8" x14ac:dyDescent="0.3">
      <c r="A13" s="9"/>
      <c r="B13" s="18">
        <v>5</v>
      </c>
      <c r="C13" s="18" t="s">
        <v>65</v>
      </c>
      <c r="D13" s="24">
        <v>18</v>
      </c>
      <c r="E13" s="19" t="str">
        <f t="shared" si="0"/>
        <v>eligible</v>
      </c>
      <c r="F13" s="19" t="str">
        <f t="shared" si="1"/>
        <v>adult</v>
      </c>
      <c r="G13" s="9"/>
      <c r="H13" s="1"/>
    </row>
    <row r="14" spans="1:8" x14ac:dyDescent="0.3">
      <c r="A14" s="9"/>
      <c r="B14" s="18">
        <v>6</v>
      </c>
      <c r="C14" s="18" t="s">
        <v>66</v>
      </c>
      <c r="D14" s="24">
        <v>13</v>
      </c>
      <c r="E14" s="19" t="str">
        <f t="shared" si="0"/>
        <v>not</v>
      </c>
      <c r="F14" s="19" t="str">
        <f t="shared" si="1"/>
        <v>minnor</v>
      </c>
      <c r="G14" s="9"/>
      <c r="H14" s="1"/>
    </row>
    <row r="15" spans="1:8" x14ac:dyDescent="0.3">
      <c r="A15" s="9"/>
      <c r="B15" s="18">
        <v>7</v>
      </c>
      <c r="C15" s="18" t="s">
        <v>67</v>
      </c>
      <c r="D15" s="24">
        <v>18</v>
      </c>
      <c r="E15" s="19" t="str">
        <f t="shared" si="0"/>
        <v>eligible</v>
      </c>
      <c r="F15" s="19" t="str">
        <f t="shared" si="1"/>
        <v>adult</v>
      </c>
      <c r="G15" s="9"/>
      <c r="H15" s="1"/>
    </row>
    <row r="16" spans="1:8" x14ac:dyDescent="0.3">
      <c r="A16" s="9"/>
      <c r="B16" s="18">
        <v>8</v>
      </c>
      <c r="C16" s="18" t="s">
        <v>68</v>
      </c>
      <c r="D16" s="24">
        <v>17</v>
      </c>
      <c r="E16" s="19" t="str">
        <f t="shared" si="0"/>
        <v>eligible</v>
      </c>
      <c r="F16" s="19" t="str">
        <f t="shared" si="1"/>
        <v>minnor</v>
      </c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G17"/>
  <sheetViews>
    <sheetView workbookViewId="0">
      <selection activeCell="D11" sqref="D11"/>
    </sheetView>
  </sheetViews>
  <sheetFormatPr defaultRowHeight="14.4" x14ac:dyDescent="0.3"/>
  <cols>
    <col min="4" max="4" width="19.33203125" customWidth="1"/>
  </cols>
  <sheetData>
    <row r="1" spans="1:7" x14ac:dyDescent="0.3">
      <c r="A1" s="1" t="s">
        <v>69</v>
      </c>
      <c r="B1" s="1"/>
      <c r="C1" s="1"/>
      <c r="D1" s="1"/>
    </row>
    <row r="2" spans="1:7" x14ac:dyDescent="0.3">
      <c r="A2" s="1"/>
      <c r="B2" s="1"/>
      <c r="C2" s="1"/>
      <c r="D2" s="1"/>
    </row>
    <row r="3" spans="1:7" x14ac:dyDescent="0.3">
      <c r="A3" s="1"/>
      <c r="B3" s="1" t="s">
        <v>70</v>
      </c>
      <c r="C3" s="1"/>
      <c r="D3" s="1"/>
    </row>
    <row r="4" spans="1:7" x14ac:dyDescent="0.3">
      <c r="A4" s="18" t="s">
        <v>71</v>
      </c>
      <c r="B4" s="25">
        <v>1</v>
      </c>
      <c r="C4" s="1"/>
      <c r="D4" s="1"/>
    </row>
    <row r="5" spans="1:7" x14ac:dyDescent="0.3">
      <c r="A5" s="18" t="s">
        <v>72</v>
      </c>
      <c r="B5" s="25">
        <v>0.5</v>
      </c>
      <c r="C5" s="1"/>
      <c r="D5" s="1"/>
    </row>
    <row r="6" spans="1:7" x14ac:dyDescent="0.3">
      <c r="A6" s="1"/>
      <c r="B6" s="1"/>
      <c r="C6" s="1"/>
      <c r="D6" s="1"/>
    </row>
    <row r="7" spans="1:7" x14ac:dyDescent="0.3">
      <c r="A7" s="1" t="s">
        <v>73</v>
      </c>
      <c r="B7" s="1"/>
      <c r="C7" s="1"/>
      <c r="D7" s="1"/>
    </row>
    <row r="8" spans="1:7" x14ac:dyDescent="0.3">
      <c r="A8" s="1" t="s">
        <v>74</v>
      </c>
      <c r="B8" s="1"/>
      <c r="C8" s="1"/>
      <c r="D8" s="1"/>
    </row>
    <row r="9" spans="1:7" x14ac:dyDescent="0.3">
      <c r="A9" s="1"/>
      <c r="B9" s="1"/>
      <c r="C9" s="1"/>
      <c r="D9" s="1"/>
    </row>
    <row r="10" spans="1:7" x14ac:dyDescent="0.3">
      <c r="A10" s="11" t="s">
        <v>13</v>
      </c>
      <c r="B10" s="11" t="s">
        <v>75</v>
      </c>
      <c r="C10" s="11" t="s">
        <v>76</v>
      </c>
      <c r="D10" s="11" t="s">
        <v>77</v>
      </c>
    </row>
    <row r="11" spans="1:7" x14ac:dyDescent="0.3">
      <c r="A11" s="18" t="s">
        <v>78</v>
      </c>
      <c r="B11" s="18" t="s">
        <v>71</v>
      </c>
      <c r="C11" s="26">
        <v>46866</v>
      </c>
      <c r="D11" s="57" t="str">
        <f>IF(B11=$A$4, "0", C11*50%)</f>
        <v>0</v>
      </c>
      <c r="G11">
        <v>6</v>
      </c>
    </row>
    <row r="12" spans="1:7" x14ac:dyDescent="0.3">
      <c r="A12" s="18" t="s">
        <v>79</v>
      </c>
      <c r="B12" s="18" t="s">
        <v>72</v>
      </c>
      <c r="C12" s="26">
        <v>33495</v>
      </c>
      <c r="D12" s="19">
        <f>IF(B12=$A$4, "0", C12*50%)</f>
        <v>16747.5</v>
      </c>
    </row>
    <row r="13" spans="1:7" x14ac:dyDescent="0.3">
      <c r="A13" s="18" t="s">
        <v>80</v>
      </c>
      <c r="B13" s="18" t="s">
        <v>72</v>
      </c>
      <c r="C13" s="26">
        <v>35087</v>
      </c>
      <c r="D13" s="19">
        <f t="shared" ref="D13:D17" si="0">IF(B13=$A$4, "0", C13/50)</f>
        <v>701.74</v>
      </c>
    </row>
    <row r="14" spans="1:7" x14ac:dyDescent="0.3">
      <c r="A14" s="18" t="s">
        <v>81</v>
      </c>
      <c r="B14" s="18" t="s">
        <v>71</v>
      </c>
      <c r="C14" s="26">
        <v>42603</v>
      </c>
      <c r="D14" s="19" t="str">
        <f t="shared" si="0"/>
        <v>0</v>
      </c>
    </row>
    <row r="15" spans="1:7" x14ac:dyDescent="0.3">
      <c r="A15" s="18" t="s">
        <v>65</v>
      </c>
      <c r="B15" s="18" t="s">
        <v>72</v>
      </c>
      <c r="C15" s="26">
        <v>36971</v>
      </c>
      <c r="D15" s="19">
        <f t="shared" si="0"/>
        <v>739.42</v>
      </c>
    </row>
    <row r="16" spans="1:7" x14ac:dyDescent="0.3">
      <c r="A16" s="18" t="s">
        <v>82</v>
      </c>
      <c r="B16" s="18" t="s">
        <v>71</v>
      </c>
      <c r="C16" s="26">
        <v>41286</v>
      </c>
      <c r="D16" s="19" t="str">
        <f t="shared" si="0"/>
        <v>0</v>
      </c>
    </row>
    <row r="17" spans="1:4" x14ac:dyDescent="0.3">
      <c r="A17" s="18" t="s">
        <v>83</v>
      </c>
      <c r="B17" s="18" t="s">
        <v>72</v>
      </c>
      <c r="C17" s="26">
        <v>37732</v>
      </c>
      <c r="D17" s="19">
        <f t="shared" si="0"/>
        <v>754.64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D16" sqref="D16"/>
    </sheetView>
  </sheetViews>
  <sheetFormatPr defaultRowHeight="14.4" x14ac:dyDescent="0.3"/>
  <cols>
    <col min="3" max="3" width="28.6640625" customWidth="1"/>
  </cols>
  <sheetData>
    <row r="1" spans="1:3" x14ac:dyDescent="0.3">
      <c r="A1" s="9" t="s">
        <v>84</v>
      </c>
      <c r="B1" s="9"/>
      <c r="C1" s="9"/>
    </row>
    <row r="2" spans="1:3" x14ac:dyDescent="0.3">
      <c r="A2" s="9" t="s">
        <v>85</v>
      </c>
      <c r="B2" s="9"/>
      <c r="C2" s="9"/>
    </row>
    <row r="3" spans="1:3" x14ac:dyDescent="0.3">
      <c r="A3" s="9" t="s">
        <v>86</v>
      </c>
      <c r="B3" s="9"/>
      <c r="C3" s="9"/>
    </row>
    <row r="4" spans="1:3" x14ac:dyDescent="0.3">
      <c r="A4" s="9" t="s">
        <v>87</v>
      </c>
      <c r="B4" s="9"/>
      <c r="C4" s="9"/>
    </row>
    <row r="5" spans="1:3" x14ac:dyDescent="0.3">
      <c r="A5" s="9"/>
      <c r="B5" s="9"/>
      <c r="C5" s="9"/>
    </row>
    <row r="6" spans="1:3" x14ac:dyDescent="0.3">
      <c r="A6" s="9" t="s">
        <v>88</v>
      </c>
      <c r="B6" s="9"/>
      <c r="C6" s="9"/>
    </row>
    <row r="7" spans="1:3" x14ac:dyDescent="0.3">
      <c r="A7" s="9"/>
      <c r="B7" s="9"/>
      <c r="C7" s="9"/>
    </row>
    <row r="8" spans="1:3" x14ac:dyDescent="0.3">
      <c r="A8" s="27" t="s">
        <v>89</v>
      </c>
      <c r="B8" s="27" t="s">
        <v>90</v>
      </c>
      <c r="C8" s="27" t="s">
        <v>91</v>
      </c>
    </row>
    <row r="9" spans="1:3" x14ac:dyDescent="0.3">
      <c r="A9" s="28" t="s">
        <v>92</v>
      </c>
      <c r="B9" s="28">
        <v>78</v>
      </c>
      <c r="C9" s="29" t="str" cm="1">
        <f t="array" ref="C9">_xlfn.IFS(B9&gt;=80, "Excellent", B9&gt;=60, "Good",TRUE, "Failed")</f>
        <v>Good</v>
      </c>
    </row>
    <row r="10" spans="1:3" x14ac:dyDescent="0.3">
      <c r="A10" s="28" t="s">
        <v>93</v>
      </c>
      <c r="B10" s="28">
        <v>85</v>
      </c>
      <c r="C10" s="29" t="str" cm="1">
        <f t="array" ref="C10">_xlfn.IFS(B10&gt;=80, "Excellent", B10&gt;=60, "Good",TRUE, "Failed")</f>
        <v>Excellent</v>
      </c>
    </row>
    <row r="11" spans="1:3" x14ac:dyDescent="0.3">
      <c r="A11" s="28" t="s">
        <v>94</v>
      </c>
      <c r="B11" s="28">
        <v>44</v>
      </c>
      <c r="C11" s="29" t="str" cm="1">
        <f t="array" ref="C11">_xlfn.IFS(B11&gt;=80, "Excellent", B11&gt;=60, "Good",TRUE, "Failed")</f>
        <v>Failed</v>
      </c>
    </row>
    <row r="12" spans="1:3" x14ac:dyDescent="0.3">
      <c r="A12" s="28" t="s">
        <v>95</v>
      </c>
      <c r="B12" s="28">
        <v>61</v>
      </c>
      <c r="C12" s="29" t="str" cm="1">
        <f t="array" ref="C12">_xlfn.IFS(B12&gt;=80, "Excellent", B12&gt;=60, "Good",TRUE, "Failed")</f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topLeftCell="A29" workbookViewId="0">
      <selection activeCell="C31" sqref="C31:C33"/>
    </sheetView>
  </sheetViews>
  <sheetFormatPr defaultRowHeight="14.4" x14ac:dyDescent="0.3"/>
  <cols>
    <col min="2" max="2" width="13.88671875" customWidth="1"/>
    <col min="4" max="4" width="21.44140625" customWidth="1"/>
  </cols>
  <sheetData>
    <row r="1" spans="1:6" x14ac:dyDescent="0.3">
      <c r="A1" s="3"/>
      <c r="B1" s="66" t="s">
        <v>11</v>
      </c>
      <c r="C1" s="66"/>
      <c r="D1" s="66"/>
      <c r="E1" s="66"/>
      <c r="F1" s="1"/>
    </row>
    <row r="2" spans="1:6" x14ac:dyDescent="0.3">
      <c r="A2" s="66"/>
      <c r="B2" s="66"/>
      <c r="C2" s="1"/>
      <c r="D2" s="1"/>
      <c r="E2" s="1"/>
      <c r="F2" s="1"/>
    </row>
    <row r="3" spans="1:6" x14ac:dyDescent="0.3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">
      <c r="A16" s="66"/>
      <c r="B16" s="66"/>
      <c r="C16" s="1"/>
      <c r="D16" s="1"/>
      <c r="E16" s="1"/>
      <c r="F16" s="1"/>
    </row>
    <row r="17" spans="1:6" x14ac:dyDescent="0.3">
      <c r="A17" s="30">
        <v>1</v>
      </c>
      <c r="B17" s="1" t="s">
        <v>29</v>
      </c>
      <c r="C17" s="9"/>
      <c r="D17" s="9"/>
      <c r="E17" s="10">
        <f>VLOOKUP(58369,B3:F15,4,TRUE)</f>
        <v>15784</v>
      </c>
      <c r="F17" s="1"/>
    </row>
    <row r="18" spans="1:6" x14ac:dyDescent="0.3">
      <c r="A18" s="66"/>
      <c r="B18" s="66"/>
      <c r="C18" s="1"/>
      <c r="D18" s="1"/>
      <c r="E18" s="1"/>
      <c r="F18" s="1"/>
    </row>
    <row r="19" spans="1:6" x14ac:dyDescent="0.3">
      <c r="A19" s="30">
        <v>2</v>
      </c>
      <c r="B19" s="1" t="s">
        <v>30</v>
      </c>
      <c r="C19" s="9"/>
      <c r="D19" s="1"/>
      <c r="E19" s="10">
        <f>_xlfn.XLOOKUP("Estelle Cormack",C3:C15,F3:F15)</f>
        <v>30</v>
      </c>
      <c r="F19" s="1"/>
    </row>
    <row r="20" spans="1:6" x14ac:dyDescent="0.3">
      <c r="A20" s="66"/>
      <c r="B20" s="66"/>
      <c r="C20" s="1"/>
      <c r="D20" s="1"/>
      <c r="E20" s="1"/>
      <c r="F20" s="1"/>
    </row>
    <row r="21" spans="1:6" x14ac:dyDescent="0.3">
      <c r="A21" s="30">
        <v>3</v>
      </c>
      <c r="B21" s="67" t="s">
        <v>31</v>
      </c>
      <c r="C21" s="67"/>
      <c r="D21" s="67"/>
      <c r="E21" s="1"/>
      <c r="F21" s="1"/>
    </row>
    <row r="22" spans="1:6" x14ac:dyDescent="0.3">
      <c r="A22" s="66"/>
      <c r="B22" s="66"/>
      <c r="C22" s="1"/>
      <c r="D22" s="1"/>
      <c r="E22" s="1"/>
      <c r="F22" s="1"/>
    </row>
    <row r="23" spans="1:6" x14ac:dyDescent="0.3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">
      <c r="A24" s="3"/>
      <c r="B24" s="6">
        <v>55879</v>
      </c>
      <c r="C24" s="13" t="str">
        <f>_xlfn.XLOOKUP(B24,B3:B15,D3:D15)</f>
        <v>Capetown</v>
      </c>
      <c r="D24" s="1"/>
      <c r="E24" s="1"/>
      <c r="F24" s="1"/>
    </row>
    <row r="25" spans="1:6" x14ac:dyDescent="0.3">
      <c r="A25" s="3"/>
      <c r="B25" s="6">
        <v>50217</v>
      </c>
      <c r="C25" s="13" t="str">
        <f t="shared" ref="C25:C26" si="0">_xlfn.XLOOKUP(B25,B4:B16,D4:D16)</f>
        <v>Warsaw</v>
      </c>
      <c r="D25" s="1"/>
      <c r="E25" s="1"/>
      <c r="F25" s="1"/>
    </row>
    <row r="26" spans="1:6" x14ac:dyDescent="0.3">
      <c r="A26" s="3"/>
      <c r="B26" s="6">
        <v>50695</v>
      </c>
      <c r="C26" s="13" t="str">
        <f t="shared" si="0"/>
        <v>Cairo</v>
      </c>
      <c r="D26" s="1"/>
      <c r="E26" s="1"/>
      <c r="F26" s="1"/>
    </row>
    <row r="27" spans="1:6" x14ac:dyDescent="0.3">
      <c r="A27" s="66"/>
      <c r="B27" s="66"/>
      <c r="C27" s="1"/>
      <c r="D27" s="1"/>
      <c r="E27" s="1"/>
      <c r="F27" s="1"/>
    </row>
    <row r="28" spans="1:6" x14ac:dyDescent="0.3">
      <c r="A28" s="30">
        <v>4</v>
      </c>
      <c r="B28" s="67" t="s">
        <v>32</v>
      </c>
      <c r="C28" s="67"/>
      <c r="D28" s="67"/>
      <c r="E28" s="1"/>
      <c r="F28" s="1"/>
    </row>
    <row r="29" spans="1:6" x14ac:dyDescent="0.3">
      <c r="A29" s="66"/>
      <c r="B29" s="66"/>
      <c r="C29" s="1"/>
      <c r="D29" s="1"/>
      <c r="E29" s="1"/>
      <c r="F29" s="1"/>
    </row>
    <row r="30" spans="1:6" x14ac:dyDescent="0.3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">
      <c r="A31" s="3"/>
      <c r="B31" s="14" t="s">
        <v>21</v>
      </c>
      <c r="C31" s="13">
        <f>_xlfn.XLOOKUP(B31,C3:C15,E3:E15,"not Fount")</f>
        <v>18276</v>
      </c>
      <c r="D31" s="1"/>
      <c r="E31" s="1"/>
      <c r="F31" s="1"/>
    </row>
    <row r="32" spans="1:6" x14ac:dyDescent="0.3">
      <c r="A32" s="3"/>
      <c r="B32" s="14" t="s">
        <v>33</v>
      </c>
      <c r="C32" s="13" t="str">
        <f t="shared" ref="C32:C33" si="1">_xlfn.XLOOKUP(B32,C4:C16,E4:E16,"not Fount")</f>
        <v>not Fount</v>
      </c>
      <c r="D32" s="1"/>
      <c r="E32" s="1"/>
      <c r="F32" s="1"/>
    </row>
    <row r="33" spans="1:6" x14ac:dyDescent="0.3">
      <c r="A33" s="3"/>
      <c r="B33" s="14" t="s">
        <v>27</v>
      </c>
      <c r="C33" s="13">
        <f t="shared" si="1"/>
        <v>10959</v>
      </c>
      <c r="D33" s="1"/>
      <c r="E33" s="1"/>
      <c r="F33" s="1"/>
    </row>
    <row r="34" spans="1:6" x14ac:dyDescent="0.3">
      <c r="A34" s="66"/>
      <c r="B34" s="66"/>
      <c r="C34" s="1"/>
      <c r="D34" s="1"/>
      <c r="E34" s="1"/>
      <c r="F34" s="1"/>
    </row>
  </sheetData>
  <mergeCells count="11">
    <mergeCell ref="B21:D21"/>
    <mergeCell ref="B1:E1"/>
    <mergeCell ref="A2:B2"/>
    <mergeCell ref="A16:B16"/>
    <mergeCell ref="A18:B18"/>
    <mergeCell ref="A20:B20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topLeftCell="A6" workbookViewId="0">
      <selection activeCell="C19" sqref="C19"/>
    </sheetView>
  </sheetViews>
  <sheetFormatPr defaultRowHeight="14.4" x14ac:dyDescent="0.3"/>
  <cols>
    <col min="2" max="2" width="22" customWidth="1"/>
    <col min="3" max="3" width="24.44140625" customWidth="1"/>
  </cols>
  <sheetData>
    <row r="1" spans="1:10" x14ac:dyDescent="0.3">
      <c r="A1" s="31"/>
      <c r="B1" s="32" t="s">
        <v>96</v>
      </c>
      <c r="C1" s="31"/>
      <c r="D1" s="31"/>
      <c r="E1" s="31"/>
      <c r="F1" s="31" t="s">
        <v>97</v>
      </c>
      <c r="G1" s="31"/>
      <c r="H1" s="31"/>
      <c r="I1" s="31"/>
      <c r="J1" s="31"/>
    </row>
    <row r="2" spans="1:10" x14ac:dyDescent="0.3">
      <c r="A2" s="31"/>
      <c r="B2" s="33" t="s">
        <v>13</v>
      </c>
      <c r="C2" s="33" t="s">
        <v>16</v>
      </c>
      <c r="D2" s="33" t="s">
        <v>98</v>
      </c>
      <c r="E2" s="33" t="s">
        <v>99</v>
      </c>
      <c r="F2" s="31"/>
      <c r="G2" s="31"/>
      <c r="H2" s="31"/>
      <c r="I2" s="31"/>
      <c r="J2" s="31"/>
    </row>
    <row r="3" spans="1:10" x14ac:dyDescent="0.3">
      <c r="A3" s="31"/>
      <c r="B3" s="34" t="s">
        <v>100</v>
      </c>
      <c r="C3" s="34">
        <v>35</v>
      </c>
      <c r="D3" s="34" t="s">
        <v>101</v>
      </c>
      <c r="E3" s="34" t="s">
        <v>102</v>
      </c>
      <c r="F3" s="31"/>
      <c r="G3" s="31"/>
      <c r="H3" s="31"/>
      <c r="I3" s="31"/>
      <c r="J3" s="31"/>
    </row>
    <row r="4" spans="1:10" x14ac:dyDescent="0.3">
      <c r="A4" s="31"/>
      <c r="B4" s="34" t="s">
        <v>103</v>
      </c>
      <c r="C4" s="34">
        <v>42</v>
      </c>
      <c r="D4" s="34" t="s">
        <v>104</v>
      </c>
      <c r="E4" s="34" t="s">
        <v>105</v>
      </c>
      <c r="F4" s="31"/>
      <c r="G4" s="31"/>
      <c r="H4" s="31"/>
      <c r="I4" s="31"/>
      <c r="J4" s="31"/>
    </row>
    <row r="5" spans="1:10" x14ac:dyDescent="0.3">
      <c r="A5" s="31"/>
      <c r="B5" s="34" t="s">
        <v>106</v>
      </c>
      <c r="C5" s="34">
        <v>28</v>
      </c>
      <c r="D5" s="34" t="s">
        <v>101</v>
      </c>
      <c r="E5" s="34" t="s">
        <v>107</v>
      </c>
      <c r="F5" s="31"/>
      <c r="G5" s="31"/>
      <c r="H5" s="31"/>
      <c r="I5" s="31"/>
      <c r="J5" s="31"/>
    </row>
    <row r="6" spans="1:10" x14ac:dyDescent="0.3">
      <c r="A6" s="31"/>
      <c r="B6" s="34" t="s">
        <v>108</v>
      </c>
      <c r="C6" s="34">
        <v>25</v>
      </c>
      <c r="D6" s="34" t="s">
        <v>104</v>
      </c>
      <c r="E6" s="34" t="s">
        <v>109</v>
      </c>
      <c r="F6" s="31"/>
      <c r="G6" s="31"/>
      <c r="H6" s="31"/>
      <c r="I6" s="31"/>
      <c r="J6" s="31"/>
    </row>
    <row r="7" spans="1:10" x14ac:dyDescent="0.3">
      <c r="A7" s="31"/>
      <c r="B7" s="34" t="s">
        <v>110</v>
      </c>
      <c r="C7" s="34">
        <v>31</v>
      </c>
      <c r="D7" s="34" t="s">
        <v>101</v>
      </c>
      <c r="E7" s="34" t="s">
        <v>111</v>
      </c>
      <c r="F7" s="31"/>
      <c r="G7" s="31"/>
      <c r="H7" s="31"/>
      <c r="I7" s="31"/>
      <c r="J7" s="31"/>
    </row>
    <row r="8" spans="1:10" x14ac:dyDescent="0.3">
      <c r="A8" s="31"/>
      <c r="B8" s="34" t="s">
        <v>112</v>
      </c>
      <c r="C8" s="34">
        <v>27</v>
      </c>
      <c r="D8" s="34" t="s">
        <v>104</v>
      </c>
      <c r="E8" s="34" t="s">
        <v>113</v>
      </c>
      <c r="F8" s="31"/>
      <c r="G8" s="31"/>
      <c r="H8" s="31"/>
      <c r="I8" s="31"/>
      <c r="J8" s="31"/>
    </row>
    <row r="9" spans="1:10" x14ac:dyDescent="0.3">
      <c r="A9" s="31"/>
      <c r="B9" s="34" t="s">
        <v>114</v>
      </c>
      <c r="C9" s="34">
        <v>38</v>
      </c>
      <c r="D9" s="34" t="s">
        <v>101</v>
      </c>
      <c r="E9" s="34" t="s">
        <v>115</v>
      </c>
      <c r="F9" s="31"/>
      <c r="G9" s="31"/>
      <c r="H9" s="31"/>
      <c r="I9" s="31"/>
      <c r="J9" s="31"/>
    </row>
    <row r="10" spans="1:10" x14ac:dyDescent="0.3">
      <c r="A10" s="31"/>
      <c r="B10" s="34" t="s">
        <v>116</v>
      </c>
      <c r="C10" s="34">
        <v>29</v>
      </c>
      <c r="D10" s="34" t="s">
        <v>104</v>
      </c>
      <c r="E10" s="34" t="s">
        <v>117</v>
      </c>
      <c r="F10" s="31"/>
      <c r="G10" s="31"/>
      <c r="H10" s="31"/>
      <c r="I10" s="31"/>
      <c r="J10" s="31"/>
    </row>
    <row r="11" spans="1:10" x14ac:dyDescent="0.3">
      <c r="A11" s="31"/>
      <c r="B11" s="34" t="s">
        <v>118</v>
      </c>
      <c r="C11" s="34">
        <v>45</v>
      </c>
      <c r="D11" s="34" t="s">
        <v>101</v>
      </c>
      <c r="E11" s="34" t="s">
        <v>119</v>
      </c>
      <c r="F11" s="31"/>
      <c r="G11" s="31"/>
      <c r="H11" s="31"/>
      <c r="I11" s="31"/>
      <c r="J11" s="31"/>
    </row>
    <row r="12" spans="1:10" x14ac:dyDescent="0.3">
      <c r="A12" s="31"/>
      <c r="B12" s="34" t="s">
        <v>120</v>
      </c>
      <c r="C12" s="34">
        <v>33</v>
      </c>
      <c r="D12" s="34" t="s">
        <v>104</v>
      </c>
      <c r="E12" s="34" t="s">
        <v>121</v>
      </c>
      <c r="F12" s="31"/>
      <c r="G12" s="31"/>
      <c r="H12" s="31"/>
      <c r="I12" s="31"/>
      <c r="J12" s="31"/>
    </row>
    <row r="13" spans="1:10" x14ac:dyDescent="0.3">
      <c r="A13" s="70"/>
      <c r="B13" s="70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70"/>
      <c r="B14" s="70"/>
      <c r="C14" s="31"/>
      <c r="D14" s="31"/>
      <c r="E14" s="31"/>
      <c r="F14" s="31"/>
      <c r="G14" s="31"/>
      <c r="H14" s="31"/>
      <c r="I14" s="31"/>
      <c r="J14" s="31"/>
    </row>
    <row r="15" spans="1:10" x14ac:dyDescent="0.3">
      <c r="A15" s="31"/>
      <c r="B15" s="35" t="s">
        <v>122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">
      <c r="A16" s="70"/>
      <c r="B16" s="70"/>
      <c r="C16" s="31"/>
      <c r="D16" s="31"/>
      <c r="E16" s="31"/>
      <c r="F16" s="31"/>
      <c r="G16" s="31"/>
      <c r="H16" s="31"/>
      <c r="I16" s="31"/>
      <c r="J16" s="31"/>
    </row>
    <row r="17" spans="1:10" x14ac:dyDescent="0.3">
      <c r="A17" s="31">
        <v>1</v>
      </c>
      <c r="B17" s="31" t="s">
        <v>123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70"/>
      <c r="B18" s="70"/>
      <c r="C18" s="36" t="s">
        <v>124</v>
      </c>
      <c r="D18" s="36"/>
      <c r="E18" s="31"/>
      <c r="F18" s="31"/>
      <c r="G18" s="31"/>
      <c r="H18" s="31"/>
      <c r="I18" s="31"/>
      <c r="J18" s="31"/>
    </row>
    <row r="19" spans="1:10" x14ac:dyDescent="0.3">
      <c r="A19" s="31"/>
      <c r="B19" s="32" t="s">
        <v>125</v>
      </c>
      <c r="C19" s="37" t="str">
        <f>VLOOKUP( "jane Doe",B2:E12,4,FALSE)</f>
        <v>Data Scientist</v>
      </c>
      <c r="D19" s="31"/>
      <c r="E19" s="31"/>
      <c r="F19" s="31"/>
      <c r="G19" s="31"/>
      <c r="H19" s="31"/>
      <c r="I19" s="31"/>
      <c r="J19" s="31"/>
    </row>
    <row r="20" spans="1:10" x14ac:dyDescent="0.3">
      <c r="A20" s="70"/>
      <c r="B20" s="70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31">
        <v>2</v>
      </c>
      <c r="B21" s="31" t="s">
        <v>126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70"/>
      <c r="B22" s="70"/>
      <c r="C22" s="36" t="s">
        <v>124</v>
      </c>
      <c r="D22" s="36"/>
      <c r="E22" s="31"/>
      <c r="F22" s="31"/>
      <c r="G22" s="31"/>
      <c r="H22" s="31"/>
      <c r="I22" s="31"/>
      <c r="J22" s="31"/>
    </row>
    <row r="23" spans="1:10" x14ac:dyDescent="0.3">
      <c r="A23" s="31"/>
      <c r="B23" s="32" t="s">
        <v>125</v>
      </c>
      <c r="C23" s="37">
        <f>VLOOKUP("Mike Lee", B2:E12,2,FALSE)</f>
        <v>45</v>
      </c>
      <c r="D23" s="31"/>
      <c r="E23" s="31"/>
      <c r="F23" s="31"/>
      <c r="G23" s="31"/>
      <c r="H23" s="31"/>
      <c r="I23" s="31"/>
      <c r="J23" s="31"/>
    </row>
    <row r="24" spans="1:10" x14ac:dyDescent="0.3">
      <c r="A24" s="70"/>
      <c r="B24" s="70"/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31">
        <v>2</v>
      </c>
      <c r="B25" s="31" t="s">
        <v>127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70"/>
      <c r="B26" s="70"/>
      <c r="C26" s="36" t="s">
        <v>124</v>
      </c>
      <c r="D26" s="36"/>
      <c r="E26" s="31"/>
      <c r="F26" s="31"/>
      <c r="G26" s="31"/>
      <c r="H26" s="31"/>
      <c r="I26" s="31"/>
      <c r="J26" s="31"/>
    </row>
    <row r="27" spans="1:10" x14ac:dyDescent="0.3">
      <c r="A27" s="31"/>
      <c r="B27" s="32" t="s">
        <v>125</v>
      </c>
      <c r="C27" s="37" t="str">
        <f>VLOOKUP("B*",B2:E12,4, FALSE)</f>
        <v>Accountant</v>
      </c>
      <c r="D27" s="31"/>
      <c r="E27" s="31"/>
      <c r="F27" s="31"/>
      <c r="G27" s="31"/>
      <c r="H27" s="31"/>
      <c r="I27" s="31"/>
      <c r="J27" s="31"/>
    </row>
    <row r="28" spans="1:10" x14ac:dyDescent="0.3">
      <c r="A28" s="70"/>
      <c r="B28" s="70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zoomScale="85" zoomScaleNormal="69" workbookViewId="0">
      <selection activeCell="B8" sqref="B8"/>
    </sheetView>
  </sheetViews>
  <sheetFormatPr defaultRowHeight="14.4" x14ac:dyDescent="0.3"/>
  <cols>
    <col min="1" max="1" width="17.6640625" customWidth="1"/>
    <col min="7" max="7" width="21.6640625" customWidth="1"/>
  </cols>
  <sheetData>
    <row r="1" spans="1:8" x14ac:dyDescent="0.3">
      <c r="A1" s="1" t="s">
        <v>128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129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3" t="s">
        <v>130</v>
      </c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8.8" x14ac:dyDescent="0.3">
      <c r="A6" s="1"/>
      <c r="B6" s="1"/>
      <c r="C6" s="1"/>
      <c r="D6" s="1"/>
      <c r="E6" s="1"/>
      <c r="F6" s="1"/>
      <c r="G6" s="38" t="s">
        <v>0</v>
      </c>
      <c r="H6" s="38" t="s">
        <v>131</v>
      </c>
    </row>
    <row r="7" spans="1:8" x14ac:dyDescent="0.3">
      <c r="A7" s="3" t="s">
        <v>0</v>
      </c>
      <c r="B7" s="3" t="s">
        <v>131</v>
      </c>
      <c r="C7" s="1"/>
      <c r="D7" s="1"/>
      <c r="E7" s="1"/>
      <c r="F7" s="1"/>
      <c r="G7" s="58">
        <v>44197</v>
      </c>
      <c r="H7" s="39" t="s">
        <v>132</v>
      </c>
    </row>
    <row r="8" spans="1:8" x14ac:dyDescent="0.3">
      <c r="A8" s="2">
        <v>44317</v>
      </c>
      <c r="B8" s="40"/>
      <c r="C8" s="1"/>
      <c r="D8" s="1"/>
      <c r="E8" s="1"/>
      <c r="F8" s="1"/>
      <c r="G8" s="58">
        <v>44287</v>
      </c>
      <c r="H8" s="39" t="s">
        <v>133</v>
      </c>
    </row>
    <row r="9" spans="1:8" x14ac:dyDescent="0.3">
      <c r="A9" s="1" t="s">
        <v>134</v>
      </c>
      <c r="B9" s="40"/>
      <c r="C9" s="1"/>
      <c r="D9" s="1"/>
      <c r="E9" s="1"/>
      <c r="F9" s="1"/>
      <c r="G9" s="58">
        <v>44317</v>
      </c>
      <c r="H9" s="39" t="s">
        <v>135</v>
      </c>
    </row>
    <row r="10" spans="1:8" x14ac:dyDescent="0.3">
      <c r="A10" s="1" t="s">
        <v>136</v>
      </c>
      <c r="B10" s="40"/>
      <c r="C10" s="1"/>
      <c r="D10" s="1"/>
      <c r="E10" s="1"/>
      <c r="F10" s="1"/>
      <c r="G10" s="58">
        <v>44348</v>
      </c>
      <c r="H10" s="39" t="s">
        <v>137</v>
      </c>
    </row>
    <row r="11" spans="1:8" x14ac:dyDescent="0.3">
      <c r="A11" s="1"/>
      <c r="B11" s="1"/>
      <c r="C11" s="1"/>
      <c r="D11" s="1"/>
      <c r="E11" s="1"/>
      <c r="F11" s="1"/>
      <c r="G11" s="58">
        <v>44378</v>
      </c>
      <c r="H11" s="39" t="s">
        <v>138</v>
      </c>
    </row>
    <row r="12" spans="1:8" x14ac:dyDescent="0.3">
      <c r="A12" s="1"/>
      <c r="B12" s="1"/>
      <c r="C12" s="1"/>
      <c r="D12" s="1"/>
      <c r="E12" s="1"/>
      <c r="F12" s="1"/>
      <c r="G12" s="58">
        <v>44409</v>
      </c>
      <c r="H12" s="39" t="s">
        <v>138</v>
      </c>
    </row>
    <row r="13" spans="1:8" x14ac:dyDescent="0.3">
      <c r="A13" s="1"/>
      <c r="B13" s="1"/>
      <c r="C13" s="1"/>
      <c r="D13" s="1"/>
      <c r="E13" s="1"/>
      <c r="F13" s="1"/>
      <c r="G13" s="59">
        <v>44501</v>
      </c>
      <c r="H13" s="39" t="s">
        <v>139</v>
      </c>
    </row>
    <row r="14" spans="1:8" x14ac:dyDescent="0.3">
      <c r="A14" s="1"/>
      <c r="B14" s="1"/>
      <c r="C14" s="1"/>
      <c r="D14" s="1"/>
      <c r="E14" s="1"/>
      <c r="F14" s="1"/>
      <c r="G14" s="58">
        <v>44531</v>
      </c>
      <c r="H14" s="39" t="s">
        <v>140</v>
      </c>
    </row>
    <row r="15" spans="1:8" x14ac:dyDescent="0.3">
      <c r="A15" s="1"/>
      <c r="B15" s="1"/>
      <c r="C15" s="1"/>
      <c r="D15" s="1"/>
      <c r="E15" s="1"/>
      <c r="F15" s="1"/>
      <c r="G15" s="58" t="s">
        <v>141</v>
      </c>
      <c r="H15" s="39" t="s">
        <v>142</v>
      </c>
    </row>
    <row r="16" spans="1:8" x14ac:dyDescent="0.3">
      <c r="A16" s="1"/>
      <c r="B16" s="1"/>
      <c r="C16" s="1"/>
      <c r="D16" s="1"/>
      <c r="E16" s="1"/>
      <c r="F16" s="1"/>
      <c r="G16" s="58" t="s">
        <v>143</v>
      </c>
      <c r="H16" s="39" t="s">
        <v>144</v>
      </c>
    </row>
    <row r="17" spans="1:8" x14ac:dyDescent="0.3">
      <c r="A17" s="1"/>
      <c r="B17" s="1"/>
      <c r="C17" s="1"/>
      <c r="D17" s="1"/>
      <c r="E17" s="1"/>
      <c r="F17" s="1"/>
      <c r="G17" s="58" t="s">
        <v>134</v>
      </c>
      <c r="H17" s="39" t="s">
        <v>145</v>
      </c>
    </row>
    <row r="18" spans="1:8" x14ac:dyDescent="0.3">
      <c r="A18" s="1"/>
      <c r="B18" s="1"/>
      <c r="C18" s="1"/>
      <c r="D18" s="1"/>
      <c r="E18" s="1"/>
      <c r="F18" s="1"/>
      <c r="G18" s="58" t="s">
        <v>146</v>
      </c>
      <c r="H18" s="39" t="s">
        <v>147</v>
      </c>
    </row>
    <row r="19" spans="1:8" x14ac:dyDescent="0.3">
      <c r="A19" s="1"/>
      <c r="B19" s="1"/>
      <c r="C19" s="1"/>
      <c r="D19" s="1"/>
      <c r="E19" s="1"/>
      <c r="F19" s="1"/>
      <c r="G19" s="58" t="s">
        <v>148</v>
      </c>
      <c r="H19" s="39" t="s">
        <v>149</v>
      </c>
    </row>
    <row r="20" spans="1:8" x14ac:dyDescent="0.3">
      <c r="A20" s="1"/>
      <c r="B20" s="1"/>
      <c r="C20" s="1"/>
      <c r="D20" s="1"/>
      <c r="E20" s="1"/>
      <c r="F20" s="1"/>
      <c r="G20" s="58" t="s">
        <v>150</v>
      </c>
      <c r="H20" s="39" t="s">
        <v>151</v>
      </c>
    </row>
    <row r="21" spans="1:8" x14ac:dyDescent="0.3">
      <c r="A21" s="1"/>
      <c r="B21" s="1"/>
      <c r="C21" s="1"/>
      <c r="D21" s="1"/>
      <c r="E21" s="1"/>
      <c r="F21" s="1"/>
      <c r="G21" s="58" t="s">
        <v>152</v>
      </c>
      <c r="H21" s="39" t="s">
        <v>153</v>
      </c>
    </row>
    <row r="22" spans="1:8" x14ac:dyDescent="0.3">
      <c r="A22" s="1"/>
      <c r="B22" s="1"/>
      <c r="C22" s="1"/>
      <c r="D22" s="1"/>
      <c r="E22" s="1"/>
      <c r="F22" s="1"/>
      <c r="G22" s="58" t="s">
        <v>154</v>
      </c>
      <c r="H22" s="39" t="s">
        <v>155</v>
      </c>
    </row>
    <row r="23" spans="1:8" x14ac:dyDescent="0.3">
      <c r="A23" s="1"/>
      <c r="B23" s="1"/>
      <c r="C23" s="1"/>
      <c r="D23" s="1"/>
      <c r="E23" s="1"/>
      <c r="F23" s="1"/>
      <c r="G23" s="58" t="s">
        <v>156</v>
      </c>
      <c r="H23" s="39" t="s">
        <v>157</v>
      </c>
    </row>
    <row r="24" spans="1:8" x14ac:dyDescent="0.3">
      <c r="A24" s="1"/>
      <c r="B24" s="1"/>
      <c r="C24" s="1"/>
      <c r="D24" s="1"/>
      <c r="E24" s="1"/>
      <c r="F24" s="1"/>
      <c r="G24" s="58" t="s">
        <v>158</v>
      </c>
      <c r="H24" s="39" t="s">
        <v>159</v>
      </c>
    </row>
    <row r="25" spans="1:8" x14ac:dyDescent="0.3">
      <c r="A25" s="1"/>
      <c r="B25" s="1"/>
      <c r="C25" s="1"/>
      <c r="D25" s="1"/>
      <c r="E25" s="1"/>
      <c r="F25" s="1"/>
      <c r="G25" s="58" t="s">
        <v>160</v>
      </c>
      <c r="H25" s="39" t="s">
        <v>161</v>
      </c>
    </row>
    <row r="26" spans="1:8" x14ac:dyDescent="0.3">
      <c r="A26" s="1"/>
      <c r="B26" s="1"/>
      <c r="C26" s="1"/>
      <c r="D26" s="1"/>
      <c r="E26" s="1"/>
      <c r="F26" s="1"/>
      <c r="G26" s="58" t="s">
        <v>162</v>
      </c>
      <c r="H26" s="39" t="s">
        <v>163</v>
      </c>
    </row>
    <row r="27" spans="1:8" x14ac:dyDescent="0.3">
      <c r="A27" s="1"/>
      <c r="B27" s="1"/>
      <c r="C27" s="1"/>
      <c r="D27" s="1"/>
      <c r="E27" s="1"/>
      <c r="F27" s="1"/>
      <c r="G27" s="58" t="s">
        <v>164</v>
      </c>
      <c r="H27" s="39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zoomScale="92" workbookViewId="0">
      <selection activeCell="B3" sqref="B3:L8"/>
    </sheetView>
  </sheetViews>
  <sheetFormatPr defaultRowHeight="14.4" x14ac:dyDescent="0.3"/>
  <cols>
    <col min="2" max="2" width="19.5546875" customWidth="1"/>
    <col min="3" max="3" width="15.6640625" customWidth="1"/>
    <col min="4" max="4" width="17.33203125" customWidth="1"/>
    <col min="5" max="5" width="20.5546875" customWidth="1"/>
    <col min="6" max="6" width="20.109375" customWidth="1"/>
    <col min="7" max="7" width="19.109375" customWidth="1"/>
    <col min="8" max="9" width="14.77734375" customWidth="1"/>
    <col min="10" max="10" width="14.88671875" customWidth="1"/>
    <col min="11" max="11" width="15.6640625" customWidth="1"/>
    <col min="12" max="12" width="17.44140625" customWidth="1"/>
  </cols>
  <sheetData>
    <row r="1" spans="1:12" x14ac:dyDescent="0.3">
      <c r="A1" s="72"/>
      <c r="B1" s="72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41"/>
      <c r="B2" s="42" t="s">
        <v>166</v>
      </c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3">
      <c r="A3" s="41"/>
      <c r="B3" s="43" t="s">
        <v>12</v>
      </c>
      <c r="C3" s="43">
        <v>101</v>
      </c>
      <c r="D3" s="43">
        <v>102</v>
      </c>
      <c r="E3" s="43">
        <v>103</v>
      </c>
      <c r="F3" s="43">
        <v>104</v>
      </c>
      <c r="G3" s="43">
        <v>105</v>
      </c>
      <c r="H3" s="43">
        <v>106</v>
      </c>
      <c r="I3" s="43">
        <v>107</v>
      </c>
      <c r="J3" s="43">
        <v>108</v>
      </c>
      <c r="K3" s="43">
        <v>109</v>
      </c>
      <c r="L3" s="43">
        <v>110</v>
      </c>
    </row>
    <row r="4" spans="1:12" x14ac:dyDescent="0.3">
      <c r="A4" s="41"/>
      <c r="B4" s="43" t="s">
        <v>167</v>
      </c>
      <c r="C4" s="44" t="s">
        <v>168</v>
      </c>
      <c r="D4" s="44" t="s">
        <v>169</v>
      </c>
      <c r="E4" s="44" t="s">
        <v>106</v>
      </c>
      <c r="F4" s="44" t="s">
        <v>170</v>
      </c>
      <c r="G4" s="44" t="s">
        <v>171</v>
      </c>
      <c r="H4" s="44" t="s">
        <v>172</v>
      </c>
      <c r="I4" s="44" t="s">
        <v>173</v>
      </c>
      <c r="J4" s="44" t="s">
        <v>174</v>
      </c>
      <c r="K4" s="44" t="s">
        <v>175</v>
      </c>
      <c r="L4" s="44" t="s">
        <v>176</v>
      </c>
    </row>
    <row r="5" spans="1:12" x14ac:dyDescent="0.3">
      <c r="A5" s="41"/>
      <c r="B5" s="43" t="s">
        <v>177</v>
      </c>
      <c r="C5" s="44" t="s">
        <v>109</v>
      </c>
      <c r="D5" s="44" t="s">
        <v>111</v>
      </c>
      <c r="E5" s="44" t="s">
        <v>178</v>
      </c>
      <c r="F5" s="44" t="s">
        <v>179</v>
      </c>
      <c r="G5" s="44" t="s">
        <v>109</v>
      </c>
      <c r="H5" s="44" t="s">
        <v>111</v>
      </c>
      <c r="I5" s="44" t="s">
        <v>178</v>
      </c>
      <c r="J5" s="44" t="s">
        <v>179</v>
      </c>
      <c r="K5" s="44" t="s">
        <v>109</v>
      </c>
      <c r="L5" s="44" t="s">
        <v>111</v>
      </c>
    </row>
    <row r="6" spans="1:12" x14ac:dyDescent="0.3">
      <c r="A6" s="41"/>
      <c r="B6" s="43" t="s">
        <v>15</v>
      </c>
      <c r="C6" s="44">
        <v>50000</v>
      </c>
      <c r="D6" s="44">
        <v>55000</v>
      </c>
      <c r="E6" s="44">
        <v>60000</v>
      </c>
      <c r="F6" s="44">
        <v>65000</v>
      </c>
      <c r="G6" s="44">
        <v>70000</v>
      </c>
      <c r="H6" s="44">
        <v>75000</v>
      </c>
      <c r="I6" s="44">
        <v>80000</v>
      </c>
      <c r="J6" s="44">
        <v>85000</v>
      </c>
      <c r="K6" s="44">
        <v>90000</v>
      </c>
      <c r="L6" s="44">
        <v>95000</v>
      </c>
    </row>
    <row r="7" spans="1:12" x14ac:dyDescent="0.3">
      <c r="A7" s="41"/>
      <c r="B7" s="43" t="s">
        <v>180</v>
      </c>
      <c r="C7" s="44">
        <v>2000</v>
      </c>
      <c r="D7" s="44">
        <v>2500</v>
      </c>
      <c r="E7" s="44">
        <v>3000</v>
      </c>
      <c r="F7" s="44">
        <v>3500</v>
      </c>
      <c r="G7" s="44">
        <v>4000</v>
      </c>
      <c r="H7" s="44">
        <v>4500</v>
      </c>
      <c r="I7" s="44">
        <v>5000</v>
      </c>
      <c r="J7" s="44">
        <v>5500</v>
      </c>
      <c r="K7" s="44">
        <v>6000</v>
      </c>
      <c r="L7" s="44">
        <v>6500</v>
      </c>
    </row>
    <row r="8" spans="1:12" x14ac:dyDescent="0.3">
      <c r="A8" s="41"/>
      <c r="B8" s="43" t="s">
        <v>181</v>
      </c>
      <c r="C8" s="44">
        <v>52000</v>
      </c>
      <c r="D8" s="44">
        <v>57500</v>
      </c>
      <c r="E8" s="44">
        <v>63000</v>
      </c>
      <c r="F8" s="44">
        <v>685000</v>
      </c>
      <c r="G8" s="44">
        <v>74000</v>
      </c>
      <c r="H8" s="44">
        <v>79500</v>
      </c>
      <c r="I8" s="44">
        <v>85000</v>
      </c>
      <c r="J8" s="44">
        <v>90500</v>
      </c>
      <c r="K8" s="44">
        <v>96000</v>
      </c>
      <c r="L8" s="44">
        <v>101500</v>
      </c>
    </row>
    <row r="9" spans="1:12" x14ac:dyDescent="0.3">
      <c r="A9" s="72"/>
      <c r="B9" s="72"/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2" x14ac:dyDescent="0.3">
      <c r="A10" s="45">
        <v>1</v>
      </c>
      <c r="B10" s="42" t="s">
        <v>182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1" spans="1:12" x14ac:dyDescent="0.3">
      <c r="A11" s="71"/>
      <c r="B11" s="71"/>
      <c r="C11" s="42"/>
      <c r="D11" s="42"/>
      <c r="E11" s="41"/>
      <c r="F11" s="41"/>
      <c r="G11" s="41"/>
      <c r="H11" s="41"/>
      <c r="I11" s="41"/>
      <c r="J11" s="41"/>
      <c r="K11" s="41"/>
      <c r="L11" s="41"/>
    </row>
    <row r="12" spans="1:12" x14ac:dyDescent="0.3">
      <c r="A12" s="45"/>
      <c r="B12" s="41" t="s">
        <v>125</v>
      </c>
      <c r="C12" s="46" t="str">
        <f>HLOOKUP(102,B3:L8,3,FALSE)</f>
        <v>Marketing</v>
      </c>
      <c r="D12" s="41"/>
      <c r="E12" s="41"/>
      <c r="F12" s="41"/>
      <c r="G12" s="41"/>
      <c r="H12" s="41"/>
      <c r="I12" s="41"/>
      <c r="J12" s="41"/>
      <c r="K12" s="41"/>
      <c r="L12" s="41"/>
    </row>
    <row r="13" spans="1:12" x14ac:dyDescent="0.3">
      <c r="A13" s="71"/>
      <c r="B13" s="7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2" x14ac:dyDescent="0.3">
      <c r="A14" s="45">
        <v>2</v>
      </c>
      <c r="B14" s="42" t="s">
        <v>183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2" x14ac:dyDescent="0.3">
      <c r="A15" s="71"/>
      <c r="B15" s="71"/>
      <c r="C15" s="42"/>
      <c r="D15" s="42"/>
      <c r="E15" s="41"/>
      <c r="F15" s="41"/>
      <c r="G15" s="41"/>
      <c r="H15" s="41"/>
      <c r="I15" s="41"/>
      <c r="J15" s="41"/>
      <c r="K15" s="41"/>
      <c r="L15" s="41"/>
    </row>
    <row r="16" spans="1:12" x14ac:dyDescent="0.3">
      <c r="A16" s="45"/>
      <c r="B16" s="41" t="s">
        <v>125</v>
      </c>
      <c r="C16" s="46">
        <f>HLOOKUP(105,B3:L8,4,FALSE)</f>
        <v>70000</v>
      </c>
      <c r="D16" s="41"/>
      <c r="E16" s="41"/>
      <c r="F16" s="41"/>
      <c r="G16" s="41"/>
      <c r="H16" s="41"/>
      <c r="I16" s="41"/>
      <c r="J16" s="41"/>
      <c r="K16" s="41"/>
      <c r="L16" s="41"/>
    </row>
    <row r="17" spans="1:12" x14ac:dyDescent="0.3">
      <c r="A17" s="71"/>
      <c r="B17" s="71"/>
      <c r="C17" s="41"/>
      <c r="D17" s="41"/>
      <c r="E17" s="41"/>
      <c r="F17" s="41"/>
      <c r="G17" s="41"/>
      <c r="H17" s="41"/>
      <c r="I17" s="41"/>
      <c r="J17" s="41"/>
      <c r="K17" s="41"/>
      <c r="L17" s="41"/>
    </row>
    <row r="18" spans="1:12" x14ac:dyDescent="0.3">
      <c r="A18" s="71"/>
      <c r="B18" s="7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spans="1:12" x14ac:dyDescent="0.3">
      <c r="A19" s="45">
        <v>3</v>
      </c>
      <c r="B19" s="42" t="s">
        <v>184</v>
      </c>
      <c r="C19" s="42"/>
      <c r="D19" s="42"/>
      <c r="E19" s="41"/>
      <c r="F19" s="41"/>
      <c r="G19" s="41"/>
      <c r="H19" s="41"/>
      <c r="I19" s="41"/>
      <c r="J19" s="41"/>
      <c r="K19" s="41"/>
      <c r="L19" s="41"/>
    </row>
    <row r="20" spans="1:12" x14ac:dyDescent="0.3">
      <c r="A20" s="45"/>
      <c r="B20" s="45" t="s">
        <v>125</v>
      </c>
      <c r="C20" s="46">
        <f>HLOOKUP(107,table,6,FALSE)</f>
        <v>85000</v>
      </c>
      <c r="D20" s="41"/>
      <c r="E20" s="41"/>
      <c r="F20" s="41"/>
      <c r="G20" s="41"/>
      <c r="H20" s="41"/>
      <c r="I20" s="41"/>
      <c r="J20" s="41"/>
      <c r="K20" s="41"/>
      <c r="L20" s="41"/>
    </row>
    <row r="21" spans="1:12" x14ac:dyDescent="0.3">
      <c r="A21" s="71"/>
      <c r="B21" s="7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x14ac:dyDescent="0.3">
      <c r="A22" s="71"/>
      <c r="B22" s="71"/>
      <c r="C22" s="41"/>
      <c r="D22" s="41"/>
      <c r="E22" s="41"/>
      <c r="F22" s="41"/>
      <c r="G22" s="41"/>
      <c r="H22" s="41"/>
      <c r="I22" s="41"/>
      <c r="J22" s="41"/>
      <c r="K22" s="41"/>
      <c r="L22" s="41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topLeftCell="A10" zoomScale="108" workbookViewId="0">
      <selection activeCell="H19" sqref="H19"/>
    </sheetView>
  </sheetViews>
  <sheetFormatPr defaultRowHeight="14.4" x14ac:dyDescent="0.3"/>
  <cols>
    <col min="7" max="7" width="25.33203125" customWidth="1"/>
  </cols>
  <sheetData>
    <row r="1" spans="1:8" x14ac:dyDescent="0.3">
      <c r="A1" s="1"/>
      <c r="B1" s="27" t="s">
        <v>185</v>
      </c>
      <c r="C1" s="27" t="s">
        <v>186</v>
      </c>
      <c r="D1" s="27" t="s">
        <v>187</v>
      </c>
      <c r="E1" s="27" t="s">
        <v>188</v>
      </c>
      <c r="F1" s="1"/>
      <c r="G1" s="1"/>
      <c r="H1" s="1"/>
    </row>
    <row r="2" spans="1:8" x14ac:dyDescent="0.3">
      <c r="A2" s="1"/>
      <c r="B2" s="47">
        <v>1</v>
      </c>
      <c r="C2" s="48">
        <v>8000</v>
      </c>
      <c r="D2" s="47" t="s">
        <v>189</v>
      </c>
      <c r="E2" s="60">
        <v>10</v>
      </c>
      <c r="F2" s="1"/>
      <c r="G2" s="1"/>
      <c r="H2" s="1"/>
    </row>
    <row r="3" spans="1:8" x14ac:dyDescent="0.3">
      <c r="A3" s="1"/>
      <c r="B3" s="47">
        <v>2</v>
      </c>
      <c r="C3" s="48">
        <v>11000</v>
      </c>
      <c r="D3" s="47" t="s">
        <v>189</v>
      </c>
      <c r="E3" s="60">
        <v>9</v>
      </c>
      <c r="F3" s="1"/>
      <c r="G3" s="1"/>
      <c r="H3" s="1"/>
    </row>
    <row r="4" spans="1:8" x14ac:dyDescent="0.3">
      <c r="A4" s="1"/>
      <c r="B4" s="47">
        <v>3</v>
      </c>
      <c r="C4" s="48">
        <v>6000</v>
      </c>
      <c r="D4" s="47" t="s">
        <v>190</v>
      </c>
      <c r="E4" s="60">
        <v>5</v>
      </c>
      <c r="F4" s="1"/>
      <c r="G4" s="1"/>
      <c r="H4" s="1"/>
    </row>
    <row r="5" spans="1:8" x14ac:dyDescent="0.3">
      <c r="A5" s="1"/>
      <c r="B5" s="47">
        <v>4</v>
      </c>
      <c r="C5" s="48">
        <v>15000</v>
      </c>
      <c r="D5" s="47" t="s">
        <v>189</v>
      </c>
      <c r="E5" s="60">
        <v>10</v>
      </c>
      <c r="F5" s="1"/>
      <c r="G5" s="1"/>
      <c r="H5" s="1"/>
    </row>
    <row r="6" spans="1:8" x14ac:dyDescent="0.3">
      <c r="A6" s="1"/>
      <c r="B6" s="47">
        <v>5</v>
      </c>
      <c r="C6" s="48">
        <v>10000</v>
      </c>
      <c r="D6" s="47" t="s">
        <v>190</v>
      </c>
      <c r="E6" s="60">
        <v>2</v>
      </c>
      <c r="F6" s="1"/>
      <c r="G6" s="1"/>
      <c r="H6" s="1"/>
    </row>
    <row r="7" spans="1:8" x14ac:dyDescent="0.3">
      <c r="A7" s="1"/>
      <c r="B7" s="47">
        <v>6</v>
      </c>
      <c r="C7" s="48">
        <v>15000</v>
      </c>
      <c r="D7" s="47" t="s">
        <v>189</v>
      </c>
      <c r="E7" s="60">
        <v>5</v>
      </c>
      <c r="F7" s="1"/>
      <c r="G7" s="1"/>
      <c r="H7" s="1"/>
    </row>
    <row r="8" spans="1:8" x14ac:dyDescent="0.3">
      <c r="A8" s="1"/>
      <c r="B8" s="47">
        <v>7</v>
      </c>
      <c r="C8" s="48">
        <v>13000</v>
      </c>
      <c r="D8" s="47" t="s">
        <v>189</v>
      </c>
      <c r="E8" s="60">
        <v>999</v>
      </c>
      <c r="F8" s="1"/>
      <c r="G8" s="1"/>
      <c r="H8" s="1"/>
    </row>
    <row r="9" spans="1:8" x14ac:dyDescent="0.3">
      <c r="A9" s="1"/>
      <c r="B9" s="47">
        <v>8</v>
      </c>
      <c r="C9" s="48">
        <v>8000</v>
      </c>
      <c r="D9" s="47" t="s">
        <v>189</v>
      </c>
      <c r="E9" s="60">
        <v>2</v>
      </c>
      <c r="F9" s="1"/>
      <c r="G9" s="1"/>
      <c r="H9" s="1"/>
    </row>
    <row r="10" spans="1:8" x14ac:dyDescent="0.3">
      <c r="A10" s="1"/>
      <c r="B10" s="47">
        <v>9</v>
      </c>
      <c r="C10" s="48">
        <v>11000</v>
      </c>
      <c r="D10" s="47" t="s">
        <v>190</v>
      </c>
      <c r="E10" s="60">
        <v>5</v>
      </c>
      <c r="F10" s="1"/>
      <c r="G10" s="1"/>
      <c r="H10" s="1"/>
    </row>
    <row r="11" spans="1:8" x14ac:dyDescent="0.3">
      <c r="A11" s="1"/>
      <c r="B11" s="47">
        <v>10</v>
      </c>
      <c r="C11" s="48">
        <v>9000</v>
      </c>
      <c r="D11" s="47" t="s">
        <v>189</v>
      </c>
      <c r="E11" s="60">
        <v>6</v>
      </c>
      <c r="F11" s="1"/>
      <c r="G11" s="1"/>
      <c r="H11" s="1"/>
    </row>
    <row r="12" spans="1:8" x14ac:dyDescent="0.3">
      <c r="A12" s="67"/>
      <c r="B12" s="67"/>
      <c r="C12" s="1"/>
      <c r="D12" s="1"/>
      <c r="E12" s="1"/>
      <c r="F12" s="1"/>
      <c r="G12" s="1"/>
      <c r="H12" s="1"/>
    </row>
    <row r="13" spans="1:8" x14ac:dyDescent="0.3">
      <c r="A13" s="67"/>
      <c r="B13" s="67"/>
      <c r="C13" s="1"/>
      <c r="D13" s="1"/>
      <c r="E13" s="1"/>
      <c r="F13" s="1"/>
      <c r="G13" s="1"/>
      <c r="H13" s="1"/>
    </row>
    <row r="14" spans="1:8" ht="15" thickBot="1" x14ac:dyDescent="0.35">
      <c r="A14" s="1"/>
      <c r="B14" s="3" t="s">
        <v>191</v>
      </c>
      <c r="C14" s="1"/>
      <c r="D14" s="1"/>
      <c r="E14" s="1"/>
      <c r="F14" s="1"/>
      <c r="G14" s="1"/>
      <c r="H14" s="1"/>
    </row>
    <row r="15" spans="1:8" ht="15" thickBot="1" x14ac:dyDescent="0.35">
      <c r="A15" s="1">
        <v>1</v>
      </c>
      <c r="B15" s="1" t="s">
        <v>192</v>
      </c>
      <c r="C15" s="1"/>
      <c r="D15" s="1"/>
      <c r="E15" s="1"/>
      <c r="F15" s="1"/>
      <c r="G15" s="1"/>
      <c r="H15" s="49">
        <f>SUMIF(D1:D11,"Yes",C1:C11)</f>
        <v>79000</v>
      </c>
    </row>
    <row r="16" spans="1:8" ht="15" thickBot="1" x14ac:dyDescent="0.35">
      <c r="A16" s="1">
        <v>2</v>
      </c>
      <c r="B16" s="1" t="s">
        <v>193</v>
      </c>
      <c r="C16" s="1"/>
      <c r="D16" s="1"/>
      <c r="E16" s="1"/>
      <c r="F16" s="1"/>
      <c r="G16" s="1"/>
      <c r="H16" s="49">
        <f>SUMIF(D2:D11,"No",C2:C11)</f>
        <v>27000</v>
      </c>
    </row>
    <row r="17" spans="1:8" ht="15" thickBot="1" x14ac:dyDescent="0.35">
      <c r="A17" s="67"/>
      <c r="B17" s="67"/>
      <c r="C17" s="1"/>
      <c r="D17" s="1"/>
      <c r="E17" s="1"/>
      <c r="F17" s="1"/>
      <c r="G17" s="1"/>
      <c r="H17" s="1"/>
    </row>
    <row r="18" spans="1:8" ht="15" thickBot="1" x14ac:dyDescent="0.35">
      <c r="A18" s="1">
        <v>3</v>
      </c>
      <c r="B18" s="1" t="s">
        <v>194</v>
      </c>
      <c r="C18" s="1"/>
      <c r="D18" s="1"/>
      <c r="E18" s="1"/>
      <c r="F18" s="1"/>
      <c r="G18" s="1"/>
      <c r="H18" s="49">
        <f ca="1">SUMIF(C1:C11,"&gt;=10000",E2:E11)</f>
        <v>1019</v>
      </c>
    </row>
    <row r="19" spans="1:8" ht="15" thickBot="1" x14ac:dyDescent="0.35">
      <c r="A19" s="67"/>
      <c r="B19" s="67"/>
      <c r="C19" s="1"/>
      <c r="D19" s="1"/>
      <c r="E19" s="1"/>
      <c r="F19" s="1"/>
      <c r="G19" s="1"/>
      <c r="H19" s="1"/>
    </row>
    <row r="20" spans="1:8" ht="15" thickBot="1" x14ac:dyDescent="0.35">
      <c r="A20" s="1">
        <v>4</v>
      </c>
      <c r="B20" s="1" t="s">
        <v>195</v>
      </c>
      <c r="C20" s="1"/>
      <c r="D20" s="1"/>
      <c r="E20" s="1"/>
      <c r="F20" s="1"/>
      <c r="G20" s="1"/>
      <c r="H20" s="49">
        <f>SUMIF(C2:C11,"&gt;10000",C2:C12)</f>
        <v>65000</v>
      </c>
    </row>
    <row r="21" spans="1:8" ht="15" thickBot="1" x14ac:dyDescent="0.35">
      <c r="A21" s="1">
        <v>5</v>
      </c>
      <c r="B21" s="1" t="s">
        <v>196</v>
      </c>
      <c r="C21" s="1"/>
      <c r="D21" s="1"/>
      <c r="E21" s="1"/>
      <c r="F21" s="1"/>
      <c r="G21" s="1"/>
      <c r="H21" s="49">
        <f>SUMIF(C2:C11,"&lt;9500",C2:C12)</f>
        <v>31000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topLeftCell="A16" zoomScale="102" zoomScaleNormal="102" workbookViewId="0">
      <selection activeCell="B25" sqref="B25"/>
    </sheetView>
  </sheetViews>
  <sheetFormatPr defaultRowHeight="14.4" x14ac:dyDescent="0.3"/>
  <cols>
    <col min="2" max="2" width="80.6640625" customWidth="1"/>
  </cols>
  <sheetData>
    <row r="1" spans="1:11" x14ac:dyDescent="0.3">
      <c r="A1" s="50"/>
      <c r="B1" s="51" t="s">
        <v>197</v>
      </c>
      <c r="C1" s="61"/>
      <c r="D1" s="61"/>
      <c r="E1" s="50"/>
      <c r="F1" s="50"/>
      <c r="G1" s="50"/>
      <c r="H1" s="50"/>
      <c r="I1" s="50"/>
      <c r="J1" s="50"/>
      <c r="K1" s="50"/>
    </row>
    <row r="2" spans="1:11" x14ac:dyDescent="0.3">
      <c r="A2" s="50"/>
      <c r="B2" s="50"/>
      <c r="C2" s="64"/>
      <c r="D2" s="64"/>
      <c r="E2" s="50"/>
      <c r="F2" s="64"/>
      <c r="G2" s="64"/>
      <c r="H2" s="50"/>
      <c r="I2" s="50"/>
      <c r="J2" s="50"/>
      <c r="K2" s="50"/>
    </row>
    <row r="3" spans="1:11" x14ac:dyDescent="0.3">
      <c r="A3" s="50"/>
      <c r="B3" s="52" t="s">
        <v>198</v>
      </c>
      <c r="C3" s="52" t="s">
        <v>199</v>
      </c>
      <c r="D3" s="52" t="s">
        <v>200</v>
      </c>
      <c r="E3" s="52" t="s">
        <v>201</v>
      </c>
      <c r="F3" s="52" t="s">
        <v>202</v>
      </c>
      <c r="G3" s="52" t="s">
        <v>203</v>
      </c>
      <c r="H3" s="50"/>
      <c r="I3" s="50"/>
      <c r="J3" s="50"/>
      <c r="K3" s="50"/>
    </row>
    <row r="4" spans="1:11" x14ac:dyDescent="0.3">
      <c r="A4" s="50"/>
      <c r="B4" s="53" t="s">
        <v>204</v>
      </c>
      <c r="C4" s="53">
        <v>5</v>
      </c>
      <c r="D4" s="53" t="s">
        <v>205</v>
      </c>
      <c r="E4" s="53">
        <v>15</v>
      </c>
      <c r="F4" s="53">
        <v>500</v>
      </c>
      <c r="G4" s="53">
        <v>7500</v>
      </c>
      <c r="H4" s="50"/>
      <c r="I4" s="50"/>
      <c r="J4" s="50"/>
      <c r="K4" s="50"/>
    </row>
    <row r="5" spans="1:11" x14ac:dyDescent="0.3">
      <c r="A5" s="50"/>
      <c r="B5" s="53" t="s">
        <v>206</v>
      </c>
      <c r="C5" s="53">
        <v>4</v>
      </c>
      <c r="D5" s="53" t="s">
        <v>205</v>
      </c>
      <c r="E5" s="53">
        <v>10</v>
      </c>
      <c r="F5" s="53">
        <v>800</v>
      </c>
      <c r="G5" s="53">
        <v>8000</v>
      </c>
      <c r="H5" s="50"/>
      <c r="I5" s="50"/>
      <c r="J5" s="50"/>
      <c r="K5" s="50"/>
    </row>
    <row r="6" spans="1:11" x14ac:dyDescent="0.3">
      <c r="A6" s="50"/>
      <c r="B6" s="53" t="s">
        <v>207</v>
      </c>
      <c r="C6" s="53">
        <v>3</v>
      </c>
      <c r="D6" s="53" t="s">
        <v>208</v>
      </c>
      <c r="E6" s="53">
        <v>20</v>
      </c>
      <c r="F6" s="53">
        <v>400</v>
      </c>
      <c r="G6" s="53">
        <v>8000</v>
      </c>
      <c r="H6" s="50"/>
      <c r="I6" s="50"/>
      <c r="J6" s="50"/>
      <c r="K6" s="50"/>
    </row>
    <row r="7" spans="1:11" x14ac:dyDescent="0.3">
      <c r="A7" s="50"/>
      <c r="B7" s="53" t="s">
        <v>209</v>
      </c>
      <c r="C7" s="53">
        <v>4</v>
      </c>
      <c r="D7" s="53" t="s">
        <v>205</v>
      </c>
      <c r="E7" s="53">
        <v>12</v>
      </c>
      <c r="F7" s="53">
        <v>1000</v>
      </c>
      <c r="G7" s="53">
        <v>12000</v>
      </c>
      <c r="H7" s="50"/>
      <c r="I7" s="50"/>
      <c r="J7" s="50"/>
      <c r="K7" s="50"/>
    </row>
    <row r="8" spans="1:11" x14ac:dyDescent="0.3">
      <c r="A8" s="50"/>
      <c r="B8" s="53" t="s">
        <v>2</v>
      </c>
      <c r="C8" s="53">
        <v>5</v>
      </c>
      <c r="D8" s="53" t="s">
        <v>205</v>
      </c>
      <c r="E8" s="53">
        <v>14</v>
      </c>
      <c r="F8" s="53">
        <v>1500</v>
      </c>
      <c r="G8" s="53">
        <v>21000</v>
      </c>
      <c r="H8" s="50"/>
      <c r="I8" s="50"/>
      <c r="J8" s="50"/>
      <c r="K8" s="50"/>
    </row>
    <row r="9" spans="1:11" x14ac:dyDescent="0.3">
      <c r="A9" s="50"/>
      <c r="B9" s="53" t="s">
        <v>1</v>
      </c>
      <c r="C9" s="53">
        <v>4</v>
      </c>
      <c r="D9" s="53" t="s">
        <v>210</v>
      </c>
      <c r="E9" s="53">
        <v>18</v>
      </c>
      <c r="F9" s="53">
        <v>600</v>
      </c>
      <c r="G9" s="53">
        <v>10800</v>
      </c>
      <c r="H9" s="50"/>
      <c r="I9" s="50"/>
      <c r="J9" s="50"/>
      <c r="K9" s="50"/>
    </row>
    <row r="10" spans="1:11" x14ac:dyDescent="0.3">
      <c r="A10" s="50"/>
      <c r="B10" s="50"/>
      <c r="C10" s="65"/>
      <c r="D10" s="65"/>
      <c r="E10" s="50"/>
      <c r="F10" s="65"/>
      <c r="G10" s="65"/>
      <c r="H10" s="50"/>
      <c r="I10" s="50"/>
      <c r="J10" s="50"/>
      <c r="K10" s="50"/>
    </row>
    <row r="11" spans="1:11" x14ac:dyDescent="0.3">
      <c r="A11" s="50">
        <v>1</v>
      </c>
      <c r="B11" s="54" t="s">
        <v>211</v>
      </c>
      <c r="C11" s="61"/>
      <c r="D11" s="61"/>
      <c r="E11" s="50"/>
      <c r="F11" s="61"/>
      <c r="G11" s="61"/>
      <c r="H11" s="50"/>
      <c r="I11" s="50"/>
      <c r="J11" s="50"/>
      <c r="K11" s="50"/>
    </row>
    <row r="12" spans="1:11" x14ac:dyDescent="0.3">
      <c r="A12" s="50"/>
      <c r="B12" s="50"/>
      <c r="C12" s="63" t="s">
        <v>124</v>
      </c>
      <c r="D12" s="63"/>
      <c r="E12" s="50"/>
      <c r="F12" s="61"/>
      <c r="G12" s="61"/>
      <c r="H12" s="50"/>
      <c r="I12" s="50"/>
      <c r="J12" s="50"/>
      <c r="K12" s="50"/>
    </row>
    <row r="13" spans="1:11" x14ac:dyDescent="0.3">
      <c r="A13" s="50"/>
      <c r="B13" s="32" t="s">
        <v>125</v>
      </c>
      <c r="C13" s="37">
        <f>SUMIF(C4:C9,5,G4:G9)</f>
        <v>28500</v>
      </c>
      <c r="D13" s="50"/>
      <c r="E13" s="50"/>
      <c r="F13" s="61"/>
      <c r="G13" s="61"/>
      <c r="H13" s="50"/>
      <c r="I13" s="55"/>
      <c r="J13" s="50"/>
      <c r="K13" s="50"/>
    </row>
    <row r="14" spans="1:11" x14ac:dyDescent="0.3">
      <c r="A14" s="50"/>
      <c r="B14" s="50"/>
      <c r="C14" s="62"/>
      <c r="D14" s="62"/>
      <c r="E14" s="50"/>
      <c r="F14" s="61"/>
      <c r="G14" s="61"/>
      <c r="H14" s="50"/>
      <c r="I14" s="50"/>
      <c r="J14" s="50"/>
      <c r="K14" s="50"/>
    </row>
    <row r="15" spans="1:11" x14ac:dyDescent="0.3">
      <c r="A15" s="50"/>
      <c r="B15" s="56"/>
      <c r="C15" s="56"/>
      <c r="D15" s="56"/>
      <c r="E15" s="56"/>
      <c r="F15" s="56"/>
      <c r="G15" s="56"/>
      <c r="H15" s="56"/>
      <c r="I15" s="56"/>
      <c r="J15" s="56"/>
      <c r="K15" s="56"/>
    </row>
    <row r="16" spans="1:11" x14ac:dyDescent="0.3">
      <c r="A16" s="50">
        <v>2</v>
      </c>
      <c r="B16" s="54" t="s">
        <v>212</v>
      </c>
      <c r="C16" s="61"/>
      <c r="D16" s="61"/>
      <c r="E16" s="50"/>
      <c r="F16" s="61"/>
      <c r="G16" s="61"/>
      <c r="H16" s="50"/>
      <c r="I16" s="50"/>
      <c r="J16" s="50"/>
      <c r="K16" s="50"/>
    </row>
    <row r="17" spans="1:11" x14ac:dyDescent="0.3">
      <c r="A17" s="50"/>
      <c r="B17" s="50"/>
      <c r="C17" s="61"/>
      <c r="D17" s="61"/>
      <c r="E17" s="50"/>
      <c r="F17" s="61"/>
      <c r="G17" s="61"/>
      <c r="H17" s="50"/>
      <c r="I17" s="50"/>
      <c r="J17" s="50"/>
      <c r="K17" s="54"/>
    </row>
    <row r="18" spans="1:11" x14ac:dyDescent="0.3">
      <c r="A18" s="50"/>
      <c r="B18" s="50"/>
      <c r="C18" s="63" t="s">
        <v>124</v>
      </c>
      <c r="D18" s="63"/>
      <c r="E18" s="50"/>
      <c r="F18" s="61"/>
      <c r="G18" s="61"/>
      <c r="H18" s="50"/>
      <c r="I18" s="50"/>
      <c r="J18" s="50"/>
      <c r="K18" s="54"/>
    </row>
    <row r="19" spans="1:11" x14ac:dyDescent="0.3">
      <c r="A19" s="50"/>
      <c r="B19" s="32" t="s">
        <v>125</v>
      </c>
      <c r="C19" s="37">
        <f>SUMIFS(G4:G9,C4:C9,"&gt;=4",D4:D9,"June")</f>
        <v>48500</v>
      </c>
      <c r="D19" s="50"/>
      <c r="E19" s="50"/>
      <c r="F19" s="61"/>
      <c r="G19" s="61"/>
      <c r="H19" s="50"/>
      <c r="I19" s="50"/>
      <c r="J19" s="50"/>
      <c r="K19" s="54"/>
    </row>
    <row r="20" spans="1:11" x14ac:dyDescent="0.3">
      <c r="A20" s="50"/>
      <c r="B20" s="50"/>
      <c r="C20" s="61"/>
      <c r="D20" s="61"/>
      <c r="E20" s="50"/>
      <c r="F20" s="61"/>
      <c r="G20" s="61"/>
      <c r="H20" s="50"/>
      <c r="I20" s="50"/>
      <c r="J20" s="50"/>
      <c r="K20" s="50"/>
    </row>
    <row r="21" spans="1:11" x14ac:dyDescent="0.3">
      <c r="A21" s="50"/>
      <c r="B21" s="50"/>
      <c r="C21" s="62"/>
      <c r="D21" s="62"/>
      <c r="E21" s="50"/>
      <c r="F21" s="61"/>
      <c r="G21" s="61"/>
      <c r="H21" s="50"/>
      <c r="I21" s="50"/>
      <c r="J21" s="50"/>
      <c r="K21" s="54"/>
    </row>
    <row r="22" spans="1:11" x14ac:dyDescent="0.3">
      <c r="A22" s="50">
        <v>3</v>
      </c>
      <c r="B22" s="54" t="s">
        <v>213</v>
      </c>
      <c r="C22" s="61"/>
      <c r="D22" s="61"/>
      <c r="E22" s="50"/>
      <c r="F22" s="61"/>
      <c r="G22" s="61"/>
      <c r="H22" s="50"/>
      <c r="I22" s="50"/>
      <c r="J22" s="50"/>
      <c r="K22" s="50"/>
    </row>
    <row r="23" spans="1:11" x14ac:dyDescent="0.3">
      <c r="A23" s="50"/>
      <c r="B23" s="50"/>
      <c r="C23" s="63" t="s">
        <v>124</v>
      </c>
      <c r="D23" s="63"/>
      <c r="E23" s="50"/>
      <c r="F23" s="61"/>
      <c r="G23" s="61"/>
      <c r="H23" s="50"/>
      <c r="I23" s="50"/>
      <c r="J23" s="50"/>
      <c r="K23" s="50"/>
    </row>
    <row r="24" spans="1:11" x14ac:dyDescent="0.3">
      <c r="A24" s="50"/>
      <c r="B24" s="32" t="s">
        <v>125</v>
      </c>
      <c r="C24" s="37">
        <f>SUMIFS(E4:E9,C4:C9,"&gt;=4",F4:F9,"&gt;=800")</f>
        <v>36</v>
      </c>
      <c r="D24" s="50"/>
      <c r="E24" s="50"/>
      <c r="F24" s="61"/>
      <c r="G24" s="61"/>
      <c r="H24" s="50"/>
      <c r="I24" s="50"/>
      <c r="J24" s="50"/>
      <c r="K24" s="50"/>
    </row>
    <row r="25" spans="1:11" x14ac:dyDescent="0.3">
      <c r="A25" s="50"/>
      <c r="B25" s="50"/>
      <c r="C25" s="61"/>
      <c r="D25" s="61"/>
      <c r="E25" s="50"/>
      <c r="F25" s="61"/>
      <c r="G25" s="61"/>
      <c r="H25" s="50"/>
      <c r="I25" s="50"/>
      <c r="J25" s="50"/>
      <c r="K25" s="50"/>
    </row>
  </sheetData>
  <mergeCells count="30">
    <mergeCell ref="C11:D11"/>
    <mergeCell ref="F11:G11"/>
    <mergeCell ref="C1:D1"/>
    <mergeCell ref="C2:D2"/>
    <mergeCell ref="F2:G2"/>
    <mergeCell ref="C10:D10"/>
    <mergeCell ref="F10:G10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table</vt:lpstr>
      <vt:lpstr>table2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AHAMMAD RAFEEF</cp:lastModifiedBy>
  <dcterms:created xsi:type="dcterms:W3CDTF">2024-07-16T06:00:49Z</dcterms:created>
  <dcterms:modified xsi:type="dcterms:W3CDTF">2026-06-12T10:48:17Z</dcterms:modified>
</cp:coreProperties>
</file>